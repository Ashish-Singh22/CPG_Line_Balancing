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q03l\Desktop\PROJECT\Project 2\"/>
    </mc:Choice>
  </mc:AlternateContent>
  <xr:revisionPtr revIDLastSave="0" documentId="13_ncr:1_{FE924887-7DB4-4C31-AAEF-007CA571C413}" xr6:coauthVersionLast="47" xr6:coauthVersionMax="47" xr10:uidLastSave="{00000000-0000-0000-0000-000000000000}"/>
  <bookViews>
    <workbookView xWindow="-110" yWindow="-110" windowWidth="19420" windowHeight="10300" tabRatio="804" activeTab="1" xr2:uid="{00000000-000D-0000-FFFF-FFFF00000000}"/>
  </bookViews>
  <sheets>
    <sheet name="ModelDataQSL9" sheetId="2" r:id="rId1"/>
    <sheet name="ModelDataQSB7" sheetId="3" r:id="rId2"/>
    <sheet name="ModelDataPHASE" sheetId="4" r:id="rId3"/>
    <sheet name="ModelDataB3.3" sheetId="5" r:id="rId4"/>
    <sheet name="ModelDataX3.3" sheetId="6" r:id="rId5"/>
    <sheet name="ModelDataX2.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8" i="2"/>
  <c r="H7" i="2"/>
  <c r="H6" i="2"/>
  <c r="H4" i="2" s="1"/>
  <c r="G4" i="2"/>
  <c r="G1" i="2" s="1"/>
  <c r="K1" i="2"/>
  <c r="H80" i="7" l="1"/>
  <c r="D80" i="7"/>
  <c r="H79" i="7"/>
  <c r="D79" i="7"/>
  <c r="H78" i="7"/>
  <c r="D78" i="7"/>
  <c r="H77" i="7"/>
  <c r="D77" i="7"/>
  <c r="H76" i="7"/>
  <c r="D76" i="7"/>
  <c r="H75" i="7"/>
  <c r="D75" i="7"/>
  <c r="G74" i="7"/>
  <c r="H74" i="7" s="1"/>
  <c r="D74" i="7"/>
  <c r="G73" i="7"/>
  <c r="H73" i="7" s="1"/>
  <c r="D73" i="7"/>
  <c r="G72" i="7"/>
  <c r="H72" i="7" s="1"/>
  <c r="D72" i="7"/>
  <c r="G71" i="7"/>
  <c r="H71" i="7" s="1"/>
  <c r="D71" i="7"/>
  <c r="G70" i="7"/>
  <c r="H70" i="7" s="1"/>
  <c r="D70" i="7"/>
  <c r="G69" i="7"/>
  <c r="H69" i="7" s="1"/>
  <c r="D69" i="7"/>
  <c r="G68" i="7"/>
  <c r="H68" i="7" s="1"/>
  <c r="D68" i="7"/>
  <c r="G67" i="7"/>
  <c r="H67" i="7" s="1"/>
  <c r="D67" i="7"/>
  <c r="H66" i="7"/>
  <c r="D66" i="7"/>
  <c r="H65" i="7"/>
  <c r="D65" i="7"/>
  <c r="G64" i="7"/>
  <c r="H64" i="7" s="1"/>
  <c r="D64" i="7"/>
  <c r="G63" i="7"/>
  <c r="H63" i="7" s="1"/>
  <c r="D63" i="7"/>
  <c r="G62" i="7"/>
  <c r="H62" i="7" s="1"/>
  <c r="D62" i="7"/>
  <c r="G61" i="7"/>
  <c r="H61" i="7" s="1"/>
  <c r="D61" i="7"/>
  <c r="G60" i="7"/>
  <c r="H60" i="7" s="1"/>
  <c r="D60" i="7"/>
  <c r="H59" i="7"/>
  <c r="D59" i="7"/>
  <c r="H58" i="7"/>
  <c r="D58" i="7"/>
  <c r="H57" i="7"/>
  <c r="D57" i="7"/>
  <c r="H56" i="7"/>
  <c r="D56" i="7"/>
  <c r="H55" i="7"/>
  <c r="D55" i="7"/>
  <c r="H54" i="7"/>
  <c r="D54" i="7"/>
  <c r="H53" i="7"/>
  <c r="D53" i="7"/>
  <c r="H52" i="7"/>
  <c r="D52" i="7"/>
  <c r="H51" i="7"/>
  <c r="D51" i="7"/>
  <c r="H50" i="7"/>
  <c r="D50" i="7"/>
  <c r="H49" i="7"/>
  <c r="D49" i="7"/>
  <c r="H48" i="7"/>
  <c r="D48" i="7"/>
  <c r="H47" i="7"/>
  <c r="D47" i="7"/>
  <c r="H46" i="7"/>
  <c r="D46" i="7"/>
  <c r="G45" i="7"/>
  <c r="H45" i="7" s="1"/>
  <c r="D45" i="7"/>
  <c r="G44" i="7"/>
  <c r="H44" i="7" s="1"/>
  <c r="D44" i="7"/>
  <c r="G43" i="7"/>
  <c r="H43" i="7" s="1"/>
  <c r="D43" i="7"/>
  <c r="G42" i="7"/>
  <c r="H42" i="7" s="1"/>
  <c r="D42" i="7"/>
  <c r="G41" i="7"/>
  <c r="H41" i="7" s="1"/>
  <c r="D41" i="7"/>
  <c r="H40" i="7"/>
  <c r="G40" i="7"/>
  <c r="D40" i="7"/>
  <c r="G39" i="7"/>
  <c r="H39" i="7" s="1"/>
  <c r="D39" i="7"/>
  <c r="G38" i="7"/>
  <c r="H38" i="7" s="1"/>
  <c r="D38" i="7"/>
  <c r="G37" i="7"/>
  <c r="H37" i="7" s="1"/>
  <c r="D37" i="7"/>
  <c r="G36" i="7"/>
  <c r="H36" i="7" s="1"/>
  <c r="D36" i="7"/>
  <c r="G35" i="7"/>
  <c r="H35" i="7" s="1"/>
  <c r="D35" i="7"/>
  <c r="G34" i="7"/>
  <c r="H34" i="7" s="1"/>
  <c r="D34" i="7"/>
  <c r="G33" i="7"/>
  <c r="H33" i="7" s="1"/>
  <c r="D33" i="7"/>
  <c r="H32" i="7"/>
  <c r="D32" i="7"/>
  <c r="H31" i="7"/>
  <c r="D31" i="7"/>
  <c r="H30" i="7"/>
  <c r="D30" i="7"/>
  <c r="H29" i="7"/>
  <c r="D29" i="7"/>
  <c r="H28" i="7"/>
  <c r="G28" i="7"/>
  <c r="D28" i="7"/>
  <c r="G27" i="7"/>
  <c r="H27" i="7" s="1"/>
  <c r="D27" i="7"/>
  <c r="G26" i="7"/>
  <c r="H26" i="7" s="1"/>
  <c r="D26" i="7"/>
  <c r="H25" i="7"/>
  <c r="D25" i="7"/>
  <c r="H24" i="7"/>
  <c r="D24" i="7"/>
  <c r="H23" i="7"/>
  <c r="D23" i="7"/>
  <c r="G22" i="7"/>
  <c r="H22" i="7" s="1"/>
  <c r="D22" i="7"/>
  <c r="G21" i="7"/>
  <c r="H21" i="7" s="1"/>
  <c r="D21" i="7"/>
  <c r="G20" i="7"/>
  <c r="H20" i="7" s="1"/>
  <c r="D20" i="7"/>
  <c r="H19" i="7"/>
  <c r="G19" i="7"/>
  <c r="D19" i="7"/>
  <c r="G18" i="7"/>
  <c r="H18" i="7" s="1"/>
  <c r="D18" i="7"/>
  <c r="G17" i="7"/>
  <c r="H17" i="7" s="1"/>
  <c r="D17" i="7"/>
  <c r="G16" i="7"/>
  <c r="H16" i="7" s="1"/>
  <c r="D16" i="7"/>
  <c r="G15" i="7"/>
  <c r="H15" i="7" s="1"/>
  <c r="D15" i="7"/>
  <c r="G14" i="7"/>
  <c r="H14" i="7" s="1"/>
  <c r="D14" i="7"/>
  <c r="G13" i="7"/>
  <c r="H13" i="7" s="1"/>
  <c r="D13" i="7"/>
  <c r="G12" i="7"/>
  <c r="H12" i="7" s="1"/>
  <c r="D12" i="7"/>
  <c r="G11" i="7"/>
  <c r="H11" i="7" s="1"/>
  <c r="D11" i="7"/>
  <c r="G10" i="7"/>
  <c r="D10" i="7"/>
  <c r="D9" i="7"/>
  <c r="D8" i="7"/>
  <c r="D7" i="7"/>
  <c r="D6" i="7"/>
  <c r="C5" i="7"/>
  <c r="H80" i="6"/>
  <c r="D80" i="6"/>
  <c r="H79" i="6"/>
  <c r="D79" i="6"/>
  <c r="H78" i="6"/>
  <c r="D78" i="6"/>
  <c r="H77" i="6"/>
  <c r="D77" i="6"/>
  <c r="H76" i="6"/>
  <c r="D76" i="6"/>
  <c r="H75" i="6"/>
  <c r="D75" i="6"/>
  <c r="G74" i="6"/>
  <c r="H74" i="6" s="1"/>
  <c r="D74" i="6"/>
  <c r="G73" i="6"/>
  <c r="H73" i="6" s="1"/>
  <c r="D73" i="6"/>
  <c r="G72" i="6"/>
  <c r="H72" i="6" s="1"/>
  <c r="D72" i="6"/>
  <c r="G71" i="6"/>
  <c r="H71" i="6" s="1"/>
  <c r="D71" i="6"/>
  <c r="G70" i="6"/>
  <c r="H70" i="6" s="1"/>
  <c r="D70" i="6"/>
  <c r="G69" i="6"/>
  <c r="H69" i="6" s="1"/>
  <c r="D69" i="6"/>
  <c r="G68" i="6"/>
  <c r="H68" i="6" s="1"/>
  <c r="D68" i="6"/>
  <c r="G67" i="6"/>
  <c r="H67" i="6" s="1"/>
  <c r="D67" i="6"/>
  <c r="H66" i="6"/>
  <c r="D66" i="6"/>
  <c r="H65" i="6"/>
  <c r="D65" i="6"/>
  <c r="G64" i="6"/>
  <c r="H64" i="6" s="1"/>
  <c r="D64" i="6"/>
  <c r="G63" i="6"/>
  <c r="H63" i="6" s="1"/>
  <c r="D63" i="6"/>
  <c r="G62" i="6"/>
  <c r="H62" i="6" s="1"/>
  <c r="D62" i="6"/>
  <c r="G61" i="6"/>
  <c r="H61" i="6" s="1"/>
  <c r="D61" i="6"/>
  <c r="G60" i="6"/>
  <c r="H60" i="6" s="1"/>
  <c r="D60" i="6"/>
  <c r="H59" i="6"/>
  <c r="D59" i="6"/>
  <c r="H58" i="6"/>
  <c r="D58" i="6"/>
  <c r="H57" i="6"/>
  <c r="D57" i="6"/>
  <c r="H56" i="6"/>
  <c r="D56" i="6"/>
  <c r="H55" i="6"/>
  <c r="D55" i="6"/>
  <c r="H54" i="6"/>
  <c r="D54" i="6"/>
  <c r="H53" i="6"/>
  <c r="D53" i="6"/>
  <c r="H52" i="6"/>
  <c r="D52" i="6"/>
  <c r="H51" i="6"/>
  <c r="D51" i="6"/>
  <c r="H50" i="6"/>
  <c r="D50" i="6"/>
  <c r="H49" i="6"/>
  <c r="D49" i="6"/>
  <c r="H48" i="6"/>
  <c r="D48" i="6"/>
  <c r="H47" i="6"/>
  <c r="D47" i="6"/>
  <c r="H46" i="6"/>
  <c r="D46" i="6"/>
  <c r="G45" i="6"/>
  <c r="H45" i="6" s="1"/>
  <c r="D45" i="6"/>
  <c r="G44" i="6"/>
  <c r="H44" i="6" s="1"/>
  <c r="D44" i="6"/>
  <c r="G43" i="6"/>
  <c r="H43" i="6" s="1"/>
  <c r="D43" i="6"/>
  <c r="G42" i="6"/>
  <c r="H42" i="6" s="1"/>
  <c r="D42" i="6"/>
  <c r="G41" i="6"/>
  <c r="H41" i="6" s="1"/>
  <c r="D41" i="6"/>
  <c r="G40" i="6"/>
  <c r="H40" i="6" s="1"/>
  <c r="D40" i="6"/>
  <c r="G39" i="6"/>
  <c r="H39" i="6" s="1"/>
  <c r="D39" i="6"/>
  <c r="G38" i="6"/>
  <c r="H38" i="6" s="1"/>
  <c r="D38" i="6"/>
  <c r="G37" i="6"/>
  <c r="H37" i="6" s="1"/>
  <c r="D37" i="6"/>
  <c r="G36" i="6"/>
  <c r="H36" i="6" s="1"/>
  <c r="D36" i="6"/>
  <c r="G35" i="6"/>
  <c r="H35" i="6" s="1"/>
  <c r="D35" i="6"/>
  <c r="G34" i="6"/>
  <c r="H34" i="6" s="1"/>
  <c r="D34" i="6"/>
  <c r="G33" i="6"/>
  <c r="H33" i="6" s="1"/>
  <c r="D33" i="6"/>
  <c r="H32" i="6"/>
  <c r="D32" i="6"/>
  <c r="H31" i="6"/>
  <c r="D31" i="6"/>
  <c r="H30" i="6"/>
  <c r="D30" i="6"/>
  <c r="H29" i="6"/>
  <c r="D29" i="6"/>
  <c r="G28" i="6"/>
  <c r="H28" i="6" s="1"/>
  <c r="D28" i="6"/>
  <c r="G27" i="6"/>
  <c r="H27" i="6" s="1"/>
  <c r="D27" i="6"/>
  <c r="G26" i="6"/>
  <c r="H26" i="6" s="1"/>
  <c r="D26" i="6"/>
  <c r="H25" i="6"/>
  <c r="D25" i="6"/>
  <c r="H24" i="6"/>
  <c r="D24" i="6"/>
  <c r="H23" i="6"/>
  <c r="D23" i="6"/>
  <c r="G22" i="6"/>
  <c r="H22" i="6" s="1"/>
  <c r="D22" i="6"/>
  <c r="G21" i="6"/>
  <c r="H21" i="6" s="1"/>
  <c r="D21" i="6"/>
  <c r="G20" i="6"/>
  <c r="H20" i="6" s="1"/>
  <c r="D20" i="6"/>
  <c r="G19" i="6"/>
  <c r="H19" i="6" s="1"/>
  <c r="D19" i="6"/>
  <c r="G18" i="6"/>
  <c r="H18" i="6" s="1"/>
  <c r="D18" i="6"/>
  <c r="G17" i="6"/>
  <c r="H17" i="6" s="1"/>
  <c r="D17" i="6"/>
  <c r="G16" i="6"/>
  <c r="H16" i="6" s="1"/>
  <c r="D16" i="6"/>
  <c r="G15" i="6"/>
  <c r="H15" i="6" s="1"/>
  <c r="D15" i="6"/>
  <c r="G14" i="6"/>
  <c r="H14" i="6" s="1"/>
  <c r="D14" i="6"/>
  <c r="G13" i="6"/>
  <c r="H13" i="6" s="1"/>
  <c r="D13" i="6"/>
  <c r="G12" i="6"/>
  <c r="H12" i="6" s="1"/>
  <c r="D12" i="6"/>
  <c r="G11" i="6"/>
  <c r="H11" i="6" s="1"/>
  <c r="D11" i="6"/>
  <c r="G10" i="6"/>
  <c r="D10" i="6"/>
  <c r="D9" i="6"/>
  <c r="D8" i="6"/>
  <c r="D7" i="6"/>
  <c r="D6" i="6"/>
  <c r="C5" i="6"/>
  <c r="H80" i="5"/>
  <c r="D80" i="5"/>
  <c r="H79" i="5"/>
  <c r="D79" i="5"/>
  <c r="H78" i="5"/>
  <c r="D78" i="5"/>
  <c r="H77" i="5"/>
  <c r="D77" i="5"/>
  <c r="H76" i="5"/>
  <c r="D76" i="5"/>
  <c r="H75" i="5"/>
  <c r="D75" i="5"/>
  <c r="G74" i="5"/>
  <c r="H74" i="5" s="1"/>
  <c r="D74" i="5"/>
  <c r="G73" i="5"/>
  <c r="H73" i="5" s="1"/>
  <c r="D73" i="5"/>
  <c r="G72" i="5"/>
  <c r="H72" i="5" s="1"/>
  <c r="D72" i="5"/>
  <c r="G71" i="5"/>
  <c r="H71" i="5" s="1"/>
  <c r="D71" i="5"/>
  <c r="G70" i="5"/>
  <c r="H70" i="5" s="1"/>
  <c r="D70" i="5"/>
  <c r="G69" i="5"/>
  <c r="H69" i="5" s="1"/>
  <c r="D69" i="5"/>
  <c r="G68" i="5"/>
  <c r="H68" i="5" s="1"/>
  <c r="D68" i="5"/>
  <c r="G67" i="5"/>
  <c r="H67" i="5" s="1"/>
  <c r="D67" i="5"/>
  <c r="H66" i="5"/>
  <c r="D66" i="5"/>
  <c r="H65" i="5"/>
  <c r="D65" i="5"/>
  <c r="G64" i="5"/>
  <c r="H64" i="5" s="1"/>
  <c r="D64" i="5"/>
  <c r="G63" i="5"/>
  <c r="H63" i="5" s="1"/>
  <c r="D63" i="5"/>
  <c r="G62" i="5"/>
  <c r="H62" i="5" s="1"/>
  <c r="D62" i="5"/>
  <c r="G61" i="5"/>
  <c r="H61" i="5" s="1"/>
  <c r="D61" i="5"/>
  <c r="G60" i="5"/>
  <c r="H60" i="5" s="1"/>
  <c r="D60" i="5"/>
  <c r="H59" i="5"/>
  <c r="D59" i="5"/>
  <c r="H58" i="5"/>
  <c r="D58" i="5"/>
  <c r="H57" i="5"/>
  <c r="D57" i="5"/>
  <c r="H56" i="5"/>
  <c r="D56" i="5"/>
  <c r="H55" i="5"/>
  <c r="D55" i="5"/>
  <c r="H54" i="5"/>
  <c r="D54" i="5"/>
  <c r="H53" i="5"/>
  <c r="D53" i="5"/>
  <c r="H52" i="5"/>
  <c r="D52" i="5"/>
  <c r="H51" i="5"/>
  <c r="D51" i="5"/>
  <c r="H50" i="5"/>
  <c r="D50" i="5"/>
  <c r="H49" i="5"/>
  <c r="D49" i="5"/>
  <c r="H48" i="5"/>
  <c r="D48" i="5"/>
  <c r="H47" i="5"/>
  <c r="D47" i="5"/>
  <c r="H46" i="5"/>
  <c r="D46" i="5"/>
  <c r="G45" i="5"/>
  <c r="H45" i="5" s="1"/>
  <c r="D45" i="5"/>
  <c r="G44" i="5"/>
  <c r="H44" i="5" s="1"/>
  <c r="D44" i="5"/>
  <c r="G43" i="5"/>
  <c r="H43" i="5" s="1"/>
  <c r="D43" i="5"/>
  <c r="G42" i="5"/>
  <c r="H42" i="5" s="1"/>
  <c r="D42" i="5"/>
  <c r="G41" i="5"/>
  <c r="H41" i="5" s="1"/>
  <c r="D41" i="5"/>
  <c r="G40" i="5"/>
  <c r="H40" i="5" s="1"/>
  <c r="D40" i="5"/>
  <c r="G39" i="5"/>
  <c r="H39" i="5" s="1"/>
  <c r="D39" i="5"/>
  <c r="G38" i="5"/>
  <c r="H38" i="5" s="1"/>
  <c r="D38" i="5"/>
  <c r="G37" i="5"/>
  <c r="H37" i="5" s="1"/>
  <c r="D37" i="5"/>
  <c r="G36" i="5"/>
  <c r="H36" i="5" s="1"/>
  <c r="D36" i="5"/>
  <c r="G35" i="5"/>
  <c r="H35" i="5" s="1"/>
  <c r="D35" i="5"/>
  <c r="G34" i="5"/>
  <c r="H34" i="5" s="1"/>
  <c r="D34" i="5"/>
  <c r="G33" i="5"/>
  <c r="H33" i="5" s="1"/>
  <c r="D33" i="5"/>
  <c r="H32" i="5"/>
  <c r="D32" i="5"/>
  <c r="H31" i="5"/>
  <c r="D31" i="5"/>
  <c r="H30" i="5"/>
  <c r="D30" i="5"/>
  <c r="H29" i="5"/>
  <c r="D29" i="5"/>
  <c r="G28" i="5"/>
  <c r="H28" i="5" s="1"/>
  <c r="D28" i="5"/>
  <c r="G27" i="5"/>
  <c r="H27" i="5" s="1"/>
  <c r="D27" i="5"/>
  <c r="G26" i="5"/>
  <c r="H26" i="5" s="1"/>
  <c r="D26" i="5"/>
  <c r="H25" i="5"/>
  <c r="D25" i="5"/>
  <c r="H24" i="5"/>
  <c r="D24" i="5"/>
  <c r="H23" i="5"/>
  <c r="D23" i="5"/>
  <c r="G22" i="5"/>
  <c r="H22" i="5" s="1"/>
  <c r="D22" i="5"/>
  <c r="G21" i="5"/>
  <c r="H21" i="5" s="1"/>
  <c r="D21" i="5"/>
  <c r="H20" i="5"/>
  <c r="G20" i="5"/>
  <c r="D20" i="5"/>
  <c r="G19" i="5"/>
  <c r="H19" i="5" s="1"/>
  <c r="D19" i="5"/>
  <c r="G18" i="5"/>
  <c r="H18" i="5" s="1"/>
  <c r="D18" i="5"/>
  <c r="G17" i="5"/>
  <c r="H17" i="5" s="1"/>
  <c r="D17" i="5"/>
  <c r="G16" i="5"/>
  <c r="H16" i="5" s="1"/>
  <c r="D16" i="5"/>
  <c r="G15" i="5"/>
  <c r="H15" i="5" s="1"/>
  <c r="D15" i="5"/>
  <c r="G14" i="5"/>
  <c r="H14" i="5" s="1"/>
  <c r="D14" i="5"/>
  <c r="G13" i="5"/>
  <c r="H13" i="5" s="1"/>
  <c r="D13" i="5"/>
  <c r="G12" i="5"/>
  <c r="H12" i="5" s="1"/>
  <c r="D12" i="5"/>
  <c r="G11" i="5"/>
  <c r="H11" i="5" s="1"/>
  <c r="D11" i="5"/>
  <c r="G10" i="5"/>
  <c r="H10" i="5" s="1"/>
  <c r="D10" i="5"/>
  <c r="D9" i="5"/>
  <c r="D8" i="5"/>
  <c r="D7" i="5"/>
  <c r="D6" i="5"/>
  <c r="C5" i="5"/>
  <c r="H80" i="4"/>
  <c r="D80" i="4"/>
  <c r="H79" i="4"/>
  <c r="D79" i="4"/>
  <c r="H78" i="4"/>
  <c r="D78" i="4"/>
  <c r="H77" i="4"/>
  <c r="D77" i="4"/>
  <c r="H76" i="4"/>
  <c r="D76" i="4"/>
  <c r="H75" i="4"/>
  <c r="D75" i="4"/>
  <c r="G74" i="4"/>
  <c r="H74" i="4" s="1"/>
  <c r="D74" i="4"/>
  <c r="G73" i="4"/>
  <c r="H73" i="4" s="1"/>
  <c r="D73" i="4"/>
  <c r="G72" i="4"/>
  <c r="H72" i="4" s="1"/>
  <c r="D72" i="4"/>
  <c r="G71" i="4"/>
  <c r="H71" i="4" s="1"/>
  <c r="D71" i="4"/>
  <c r="G70" i="4"/>
  <c r="H70" i="4" s="1"/>
  <c r="D70" i="4"/>
  <c r="G69" i="4"/>
  <c r="H69" i="4" s="1"/>
  <c r="D69" i="4"/>
  <c r="G68" i="4"/>
  <c r="H68" i="4" s="1"/>
  <c r="D68" i="4"/>
  <c r="G67" i="4"/>
  <c r="H67" i="4" s="1"/>
  <c r="D67" i="4"/>
  <c r="H66" i="4"/>
  <c r="D66" i="4"/>
  <c r="H65" i="4"/>
  <c r="D65" i="4"/>
  <c r="G64" i="4"/>
  <c r="H64" i="4" s="1"/>
  <c r="D64" i="4"/>
  <c r="G63" i="4"/>
  <c r="H63" i="4" s="1"/>
  <c r="D63" i="4"/>
  <c r="G62" i="4"/>
  <c r="H62" i="4" s="1"/>
  <c r="D62" i="4"/>
  <c r="G61" i="4"/>
  <c r="H61" i="4" s="1"/>
  <c r="D61" i="4"/>
  <c r="G60" i="4"/>
  <c r="H60" i="4" s="1"/>
  <c r="D60" i="4"/>
  <c r="H59" i="4"/>
  <c r="D59" i="4"/>
  <c r="H58" i="4"/>
  <c r="D58" i="4"/>
  <c r="H57" i="4"/>
  <c r="D57" i="4"/>
  <c r="H56" i="4"/>
  <c r="D56" i="4"/>
  <c r="H55" i="4"/>
  <c r="D55" i="4"/>
  <c r="H54" i="4"/>
  <c r="D54" i="4"/>
  <c r="H53" i="4"/>
  <c r="D53" i="4"/>
  <c r="H52" i="4"/>
  <c r="D52" i="4"/>
  <c r="H51" i="4"/>
  <c r="D51" i="4"/>
  <c r="H50" i="4"/>
  <c r="D50" i="4"/>
  <c r="H49" i="4"/>
  <c r="D49" i="4"/>
  <c r="H48" i="4"/>
  <c r="D48" i="4"/>
  <c r="H47" i="4"/>
  <c r="D47" i="4"/>
  <c r="H46" i="4"/>
  <c r="D46" i="4"/>
  <c r="G45" i="4"/>
  <c r="H45" i="4" s="1"/>
  <c r="D45" i="4"/>
  <c r="G44" i="4"/>
  <c r="H44" i="4" s="1"/>
  <c r="D44" i="4"/>
  <c r="G43" i="4"/>
  <c r="H43" i="4" s="1"/>
  <c r="D43" i="4"/>
  <c r="G42" i="4"/>
  <c r="H42" i="4" s="1"/>
  <c r="D42" i="4"/>
  <c r="G41" i="4"/>
  <c r="H41" i="4" s="1"/>
  <c r="D41" i="4"/>
  <c r="G40" i="4"/>
  <c r="H40" i="4" s="1"/>
  <c r="D40" i="4"/>
  <c r="G39" i="4"/>
  <c r="H39" i="4" s="1"/>
  <c r="D39" i="4"/>
  <c r="G38" i="4"/>
  <c r="H38" i="4" s="1"/>
  <c r="D38" i="4"/>
  <c r="G37" i="4"/>
  <c r="H37" i="4" s="1"/>
  <c r="D37" i="4"/>
  <c r="G36" i="4"/>
  <c r="H36" i="4" s="1"/>
  <c r="D36" i="4"/>
  <c r="G35" i="4"/>
  <c r="H35" i="4" s="1"/>
  <c r="D35" i="4"/>
  <c r="G34" i="4"/>
  <c r="H34" i="4" s="1"/>
  <c r="D34" i="4"/>
  <c r="G33" i="4"/>
  <c r="H33" i="4" s="1"/>
  <c r="D33" i="4"/>
  <c r="H32" i="4"/>
  <c r="D32" i="4"/>
  <c r="H31" i="4"/>
  <c r="D31" i="4"/>
  <c r="H30" i="4"/>
  <c r="D30" i="4"/>
  <c r="H29" i="4"/>
  <c r="D29" i="4"/>
  <c r="G28" i="4"/>
  <c r="H28" i="4" s="1"/>
  <c r="D28" i="4"/>
  <c r="G27" i="4"/>
  <c r="H27" i="4" s="1"/>
  <c r="D27" i="4"/>
  <c r="G26" i="4"/>
  <c r="H26" i="4" s="1"/>
  <c r="D26" i="4"/>
  <c r="H25" i="4"/>
  <c r="D25" i="4"/>
  <c r="H24" i="4"/>
  <c r="D24" i="4"/>
  <c r="H23" i="4"/>
  <c r="D23" i="4"/>
  <c r="G22" i="4"/>
  <c r="H22" i="4" s="1"/>
  <c r="D22" i="4"/>
  <c r="G21" i="4"/>
  <c r="H21" i="4" s="1"/>
  <c r="D21" i="4"/>
  <c r="G20" i="4"/>
  <c r="H20" i="4" s="1"/>
  <c r="D20" i="4"/>
  <c r="G19" i="4"/>
  <c r="H19" i="4" s="1"/>
  <c r="D19" i="4"/>
  <c r="G18" i="4"/>
  <c r="H18" i="4" s="1"/>
  <c r="D18" i="4"/>
  <c r="G17" i="4"/>
  <c r="H17" i="4" s="1"/>
  <c r="D17" i="4"/>
  <c r="G16" i="4"/>
  <c r="H16" i="4" s="1"/>
  <c r="D16" i="4"/>
  <c r="G15" i="4"/>
  <c r="H15" i="4" s="1"/>
  <c r="D15" i="4"/>
  <c r="G14" i="4"/>
  <c r="H14" i="4" s="1"/>
  <c r="D14" i="4"/>
  <c r="G13" i="4"/>
  <c r="D13" i="4"/>
  <c r="G12" i="4"/>
  <c r="H12" i="4" s="1"/>
  <c r="D12" i="4"/>
  <c r="H11" i="4"/>
  <c r="G11" i="4"/>
  <c r="D11" i="4"/>
  <c r="G10" i="4"/>
  <c r="H10" i="4" s="1"/>
  <c r="D10" i="4"/>
  <c r="D9" i="4"/>
  <c r="D8" i="4"/>
  <c r="D7" i="4"/>
  <c r="D6" i="4"/>
  <c r="C5" i="4"/>
  <c r="D5" i="7" l="1"/>
  <c r="G81" i="7"/>
  <c r="G5" i="7"/>
  <c r="H10" i="7"/>
  <c r="D5" i="6"/>
  <c r="G81" i="6"/>
  <c r="G5" i="6"/>
  <c r="H10" i="6"/>
  <c r="D5" i="5"/>
  <c r="H5" i="5"/>
  <c r="H81" i="5"/>
  <c r="G81" i="5"/>
  <c r="G5" i="5"/>
  <c r="G81" i="4"/>
  <c r="G5" i="4"/>
  <c r="D5" i="4"/>
  <c r="H13" i="4"/>
  <c r="H81" i="4" s="1"/>
  <c r="H5" i="7" l="1"/>
  <c r="H81" i="7"/>
  <c r="H81" i="6"/>
  <c r="H5" i="6"/>
  <c r="H5" i="4"/>
  <c r="H80" i="3" l="1"/>
  <c r="D80" i="3"/>
  <c r="H79" i="3"/>
  <c r="D79" i="3"/>
  <c r="H78" i="3"/>
  <c r="D78" i="3"/>
  <c r="H77" i="3"/>
  <c r="D77" i="3"/>
  <c r="H76" i="3"/>
  <c r="D76" i="3"/>
  <c r="H75" i="3"/>
  <c r="D75" i="3"/>
  <c r="G74" i="3"/>
  <c r="H74" i="3" s="1"/>
  <c r="D74" i="3"/>
  <c r="G73" i="3"/>
  <c r="H73" i="3" s="1"/>
  <c r="D73" i="3"/>
  <c r="G72" i="3"/>
  <c r="H72" i="3" s="1"/>
  <c r="D72" i="3"/>
  <c r="G71" i="3"/>
  <c r="H71" i="3" s="1"/>
  <c r="D71" i="3"/>
  <c r="G70" i="3"/>
  <c r="H70" i="3" s="1"/>
  <c r="D70" i="3"/>
  <c r="G69" i="3"/>
  <c r="H69" i="3" s="1"/>
  <c r="D69" i="3"/>
  <c r="H68" i="3"/>
  <c r="G68" i="3"/>
  <c r="D68" i="3"/>
  <c r="G67" i="3"/>
  <c r="H67" i="3" s="1"/>
  <c r="D67" i="3"/>
  <c r="H66" i="3"/>
  <c r="D66" i="3"/>
  <c r="H65" i="3"/>
  <c r="D65" i="3"/>
  <c r="G64" i="3"/>
  <c r="H64" i="3" s="1"/>
  <c r="D64" i="3"/>
  <c r="G63" i="3"/>
  <c r="H63" i="3" s="1"/>
  <c r="D63" i="3"/>
  <c r="G62" i="3"/>
  <c r="H62" i="3" s="1"/>
  <c r="D62" i="3"/>
  <c r="G61" i="3"/>
  <c r="H61" i="3" s="1"/>
  <c r="D61" i="3"/>
  <c r="G60" i="3"/>
  <c r="H60" i="3" s="1"/>
  <c r="D60" i="3"/>
  <c r="H59" i="3"/>
  <c r="D59" i="3"/>
  <c r="H58" i="3"/>
  <c r="D58" i="3"/>
  <c r="H57" i="3"/>
  <c r="D57" i="3"/>
  <c r="H56" i="3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G45" i="3"/>
  <c r="H45" i="3" s="1"/>
  <c r="D45" i="3"/>
  <c r="G44" i="3"/>
  <c r="H44" i="3" s="1"/>
  <c r="D44" i="3"/>
  <c r="G43" i="3"/>
  <c r="H43" i="3" s="1"/>
  <c r="D43" i="3"/>
  <c r="G42" i="3"/>
  <c r="H42" i="3" s="1"/>
  <c r="D42" i="3"/>
  <c r="G41" i="3"/>
  <c r="H41" i="3" s="1"/>
  <c r="D41" i="3"/>
  <c r="G40" i="3"/>
  <c r="H40" i="3" s="1"/>
  <c r="D40" i="3"/>
  <c r="G39" i="3"/>
  <c r="H39" i="3" s="1"/>
  <c r="D39" i="3"/>
  <c r="G38" i="3"/>
  <c r="H38" i="3" s="1"/>
  <c r="D38" i="3"/>
  <c r="G37" i="3"/>
  <c r="H37" i="3" s="1"/>
  <c r="D37" i="3"/>
  <c r="G36" i="3"/>
  <c r="H36" i="3" s="1"/>
  <c r="D36" i="3"/>
  <c r="G35" i="3"/>
  <c r="H35" i="3" s="1"/>
  <c r="D35" i="3"/>
  <c r="G34" i="3"/>
  <c r="H34" i="3" s="1"/>
  <c r="D34" i="3"/>
  <c r="G33" i="3"/>
  <c r="H33" i="3" s="1"/>
  <c r="D33" i="3"/>
  <c r="H32" i="3"/>
  <c r="D32" i="3"/>
  <c r="H31" i="3"/>
  <c r="D31" i="3"/>
  <c r="H30" i="3"/>
  <c r="D30" i="3"/>
  <c r="H29" i="3"/>
  <c r="D29" i="3"/>
  <c r="G28" i="3"/>
  <c r="H28" i="3" s="1"/>
  <c r="D28" i="3"/>
  <c r="G27" i="3"/>
  <c r="H27" i="3" s="1"/>
  <c r="D27" i="3"/>
  <c r="G26" i="3"/>
  <c r="H26" i="3" s="1"/>
  <c r="D26" i="3"/>
  <c r="H25" i="3"/>
  <c r="D25" i="3"/>
  <c r="H24" i="3"/>
  <c r="D24" i="3"/>
  <c r="H23" i="3"/>
  <c r="D23" i="3"/>
  <c r="G22" i="3"/>
  <c r="H22" i="3" s="1"/>
  <c r="D22" i="3"/>
  <c r="G21" i="3"/>
  <c r="H21" i="3" s="1"/>
  <c r="D21" i="3"/>
  <c r="G20" i="3"/>
  <c r="H20" i="3" s="1"/>
  <c r="D20" i="3"/>
  <c r="G19" i="3"/>
  <c r="H19" i="3" s="1"/>
  <c r="D19" i="3"/>
  <c r="G18" i="3"/>
  <c r="H18" i="3" s="1"/>
  <c r="D18" i="3"/>
  <c r="G17" i="3"/>
  <c r="H17" i="3" s="1"/>
  <c r="D17" i="3"/>
  <c r="G16" i="3"/>
  <c r="H16" i="3" s="1"/>
  <c r="D16" i="3"/>
  <c r="G15" i="3"/>
  <c r="H15" i="3" s="1"/>
  <c r="D15" i="3"/>
  <c r="G14" i="3"/>
  <c r="H14" i="3" s="1"/>
  <c r="D14" i="3"/>
  <c r="G13" i="3"/>
  <c r="H13" i="3" s="1"/>
  <c r="D13" i="3"/>
  <c r="G12" i="3"/>
  <c r="H12" i="3" s="1"/>
  <c r="D12" i="3"/>
  <c r="G11" i="3"/>
  <c r="H11" i="3" s="1"/>
  <c r="D11" i="3"/>
  <c r="G10" i="3"/>
  <c r="D10" i="3"/>
  <c r="D9" i="3"/>
  <c r="D8" i="3"/>
  <c r="D7" i="3"/>
  <c r="D6" i="3"/>
  <c r="C5" i="3"/>
  <c r="C4" i="2"/>
  <c r="D8" i="2"/>
  <c r="D7" i="2"/>
  <c r="D6" i="2"/>
  <c r="D5" i="2"/>
  <c r="H79" i="2"/>
  <c r="D79" i="2"/>
  <c r="H78" i="2"/>
  <c r="D78" i="2"/>
  <c r="H77" i="2"/>
  <c r="D77" i="2"/>
  <c r="H76" i="2"/>
  <c r="D76" i="2"/>
  <c r="H75" i="2"/>
  <c r="D75" i="2"/>
  <c r="H74" i="2"/>
  <c r="D74" i="2"/>
  <c r="G73" i="2"/>
  <c r="H73" i="2" s="1"/>
  <c r="D73" i="2"/>
  <c r="G72" i="2"/>
  <c r="H72" i="2" s="1"/>
  <c r="D72" i="2"/>
  <c r="G71" i="2"/>
  <c r="H71" i="2" s="1"/>
  <c r="D71" i="2"/>
  <c r="G70" i="2"/>
  <c r="H70" i="2" s="1"/>
  <c r="D70" i="2"/>
  <c r="G69" i="2"/>
  <c r="H69" i="2" s="1"/>
  <c r="D69" i="2"/>
  <c r="G68" i="2"/>
  <c r="H68" i="2" s="1"/>
  <c r="D68" i="2"/>
  <c r="G67" i="2"/>
  <c r="H67" i="2" s="1"/>
  <c r="D67" i="2"/>
  <c r="G66" i="2"/>
  <c r="H66" i="2" s="1"/>
  <c r="D66" i="2"/>
  <c r="H65" i="2"/>
  <c r="D65" i="2"/>
  <c r="H64" i="2"/>
  <c r="D64" i="2"/>
  <c r="G63" i="2"/>
  <c r="H63" i="2" s="1"/>
  <c r="D63" i="2"/>
  <c r="G62" i="2"/>
  <c r="H62" i="2" s="1"/>
  <c r="D62" i="2"/>
  <c r="G61" i="2"/>
  <c r="H61" i="2" s="1"/>
  <c r="D61" i="2"/>
  <c r="G60" i="2"/>
  <c r="H60" i="2" s="1"/>
  <c r="D60" i="2"/>
  <c r="G59" i="2"/>
  <c r="H59" i="2" s="1"/>
  <c r="D59" i="2"/>
  <c r="H58" i="2"/>
  <c r="D58" i="2"/>
  <c r="H57" i="2"/>
  <c r="D57" i="2"/>
  <c r="H56" i="2"/>
  <c r="D56" i="2"/>
  <c r="H55" i="2"/>
  <c r="D55" i="2"/>
  <c r="H54" i="2"/>
  <c r="D54" i="2"/>
  <c r="H53" i="2"/>
  <c r="D53" i="2"/>
  <c r="H52" i="2"/>
  <c r="D52" i="2"/>
  <c r="H51" i="2"/>
  <c r="D51" i="2"/>
  <c r="H50" i="2"/>
  <c r="D50" i="2"/>
  <c r="H49" i="2"/>
  <c r="D49" i="2"/>
  <c r="H48" i="2"/>
  <c r="D48" i="2"/>
  <c r="H47" i="2"/>
  <c r="D47" i="2"/>
  <c r="H46" i="2"/>
  <c r="D46" i="2"/>
  <c r="H45" i="2"/>
  <c r="D45" i="2"/>
  <c r="G44" i="2"/>
  <c r="H44" i="2" s="1"/>
  <c r="D44" i="2"/>
  <c r="G43" i="2"/>
  <c r="H43" i="2" s="1"/>
  <c r="D43" i="2"/>
  <c r="G42" i="2"/>
  <c r="H42" i="2" s="1"/>
  <c r="D42" i="2"/>
  <c r="G41" i="2"/>
  <c r="H41" i="2" s="1"/>
  <c r="D41" i="2"/>
  <c r="G40" i="2"/>
  <c r="H40" i="2" s="1"/>
  <c r="D40" i="2"/>
  <c r="G39" i="2"/>
  <c r="H39" i="2" s="1"/>
  <c r="D39" i="2"/>
  <c r="G38" i="2"/>
  <c r="H38" i="2" s="1"/>
  <c r="D38" i="2"/>
  <c r="G37" i="2"/>
  <c r="H37" i="2" s="1"/>
  <c r="D37" i="2"/>
  <c r="G36" i="2"/>
  <c r="H36" i="2" s="1"/>
  <c r="D36" i="2"/>
  <c r="G35" i="2"/>
  <c r="H35" i="2" s="1"/>
  <c r="D35" i="2"/>
  <c r="G34" i="2"/>
  <c r="H34" i="2" s="1"/>
  <c r="D34" i="2"/>
  <c r="G33" i="2"/>
  <c r="H33" i="2" s="1"/>
  <c r="D33" i="2"/>
  <c r="G32" i="2"/>
  <c r="H32" i="2" s="1"/>
  <c r="D32" i="2"/>
  <c r="H31" i="2"/>
  <c r="D31" i="2"/>
  <c r="H30" i="2"/>
  <c r="D30" i="2"/>
  <c r="H29" i="2"/>
  <c r="D29" i="2"/>
  <c r="H28" i="2"/>
  <c r="D28" i="2"/>
  <c r="G27" i="2"/>
  <c r="H27" i="2" s="1"/>
  <c r="D27" i="2"/>
  <c r="G26" i="2"/>
  <c r="H26" i="2" s="1"/>
  <c r="D26" i="2"/>
  <c r="G25" i="2"/>
  <c r="H25" i="2" s="1"/>
  <c r="D25" i="2"/>
  <c r="H24" i="2"/>
  <c r="D24" i="2"/>
  <c r="H23" i="2"/>
  <c r="D23" i="2"/>
  <c r="H22" i="2"/>
  <c r="D22" i="2"/>
  <c r="G21" i="2"/>
  <c r="H21" i="2" s="1"/>
  <c r="D21" i="2"/>
  <c r="G20" i="2"/>
  <c r="H20" i="2" s="1"/>
  <c r="D20" i="2"/>
  <c r="G19" i="2"/>
  <c r="H19" i="2" s="1"/>
  <c r="D19" i="2"/>
  <c r="G18" i="2"/>
  <c r="H18" i="2" s="1"/>
  <c r="D18" i="2"/>
  <c r="G17" i="2"/>
  <c r="H17" i="2" s="1"/>
  <c r="D17" i="2"/>
  <c r="G16" i="2"/>
  <c r="H16" i="2" s="1"/>
  <c r="D16" i="2"/>
  <c r="G15" i="2"/>
  <c r="H15" i="2" s="1"/>
  <c r="D15" i="2"/>
  <c r="H14" i="2"/>
  <c r="G14" i="2"/>
  <c r="D14" i="2"/>
  <c r="G13" i="2"/>
  <c r="H13" i="2" s="1"/>
  <c r="D13" i="2"/>
  <c r="G11" i="2"/>
  <c r="H11" i="2" s="1"/>
  <c r="D11" i="2"/>
  <c r="G12" i="2"/>
  <c r="H12" i="2" s="1"/>
  <c r="D12" i="2"/>
  <c r="G10" i="2"/>
  <c r="H10" i="2" s="1"/>
  <c r="D10" i="2"/>
  <c r="G9" i="2"/>
  <c r="D9" i="2"/>
  <c r="D4" i="2" l="1"/>
  <c r="D5" i="3"/>
  <c r="G81" i="3"/>
  <c r="H10" i="3"/>
  <c r="G5" i="3"/>
  <c r="H80" i="2"/>
  <c r="G80" i="2"/>
  <c r="H81" i="3" l="1"/>
  <c r="H5" i="3"/>
</calcChain>
</file>

<file path=xl/sharedStrings.xml><?xml version="1.0" encoding="utf-8"?>
<sst xmlns="http://schemas.openxmlformats.org/spreadsheetml/2006/main" count="1420" uniqueCount="246">
  <si>
    <t>Model</t>
  </si>
  <si>
    <t>QSL9</t>
  </si>
  <si>
    <t>TOTAL</t>
  </si>
  <si>
    <t>Steps</t>
  </si>
  <si>
    <t>Time (in seconds)</t>
  </si>
  <si>
    <t>Time (in minutes)</t>
  </si>
  <si>
    <t>Predecessors</t>
  </si>
  <si>
    <t>Side</t>
  </si>
  <si>
    <t>Manpower (19)</t>
  </si>
  <si>
    <t>Crane Required</t>
  </si>
  <si>
    <t>ORDER</t>
  </si>
  <si>
    <t>T1</t>
  </si>
  <si>
    <t>Inlet oulet fittment</t>
  </si>
  <si>
    <t>T2</t>
  </si>
  <si>
    <t>AVM Fittment</t>
  </si>
  <si>
    <t>DATAFRAME</t>
  </si>
  <si>
    <t>T3</t>
  </si>
  <si>
    <t>Switch level fittment</t>
  </si>
  <si>
    <t>ORDER BY MODEL</t>
  </si>
  <si>
    <t>T4</t>
  </si>
  <si>
    <t>Neck filler fittment</t>
  </si>
  <si>
    <t>MANPOWER</t>
  </si>
  <si>
    <t>T5</t>
  </si>
  <si>
    <t>Tunion Bkt Fittment</t>
  </si>
  <si>
    <t>T6</t>
  </si>
  <si>
    <t>Tighting Neack filler</t>
  </si>
  <si>
    <t>T7</t>
  </si>
  <si>
    <t>Engine support fittment</t>
  </si>
  <si>
    <t>T8</t>
  </si>
  <si>
    <t xml:space="preserve">Engine dropping </t>
  </si>
  <si>
    <t>T9</t>
  </si>
  <si>
    <t>Alternator Guard remove</t>
  </si>
  <si>
    <t>T10</t>
  </si>
  <si>
    <t>Engine-Alternator engage</t>
  </si>
  <si>
    <t>T11</t>
  </si>
  <si>
    <t>Tighting Housing</t>
  </si>
  <si>
    <t>T12</t>
  </si>
  <si>
    <t>Tighting tunion Bkt</t>
  </si>
  <si>
    <t>T13</t>
  </si>
  <si>
    <t>MPU</t>
  </si>
  <si>
    <t>T14</t>
  </si>
  <si>
    <t>AVM tighting</t>
  </si>
  <si>
    <t>T15</t>
  </si>
  <si>
    <t>Coupling</t>
  </si>
  <si>
    <t>T16</t>
  </si>
  <si>
    <t>Fan fittment</t>
  </si>
  <si>
    <t>T17</t>
  </si>
  <si>
    <t>Heat shiled Bkt</t>
  </si>
  <si>
    <t>T18</t>
  </si>
  <si>
    <t xml:space="preserve">ECM </t>
  </si>
  <si>
    <t>T19</t>
  </si>
  <si>
    <t>housing guard tighting</t>
  </si>
  <si>
    <t>T20</t>
  </si>
  <si>
    <t xml:space="preserve">Terminal box </t>
  </si>
  <si>
    <t>T21</t>
  </si>
  <si>
    <t>Starter motar</t>
  </si>
  <si>
    <t>T22</t>
  </si>
  <si>
    <t>CH Adaptor</t>
  </si>
  <si>
    <t>T23</t>
  </si>
  <si>
    <t>Space heater</t>
  </si>
  <si>
    <t>T24</t>
  </si>
  <si>
    <t>Earthing</t>
  </si>
  <si>
    <t>T25</t>
  </si>
  <si>
    <t>PMG</t>
  </si>
  <si>
    <t>T26</t>
  </si>
  <si>
    <t>NDA Plate</t>
  </si>
  <si>
    <t>T27</t>
  </si>
  <si>
    <t>CH Fittment</t>
  </si>
  <si>
    <t>T28</t>
  </si>
  <si>
    <t>CH torque</t>
  </si>
  <si>
    <t>T29</t>
  </si>
  <si>
    <t>Panel BKt</t>
  </si>
  <si>
    <t>T30</t>
  </si>
  <si>
    <t>Housing Plug</t>
  </si>
  <si>
    <t>T31</t>
  </si>
  <si>
    <t>CT connection</t>
  </si>
  <si>
    <t>T32</t>
  </si>
  <si>
    <t>PMG connection</t>
  </si>
  <si>
    <t>T33</t>
  </si>
  <si>
    <t>CT make</t>
  </si>
  <si>
    <t>T34</t>
  </si>
  <si>
    <t>Panel Movement</t>
  </si>
  <si>
    <t>T35</t>
  </si>
  <si>
    <t>Panel Mounting</t>
  </si>
  <si>
    <t>T36</t>
  </si>
  <si>
    <t>Gromet fittment</t>
  </si>
  <si>
    <t>T37</t>
  </si>
  <si>
    <t xml:space="preserve">Power Cable </t>
  </si>
  <si>
    <t>T38</t>
  </si>
  <si>
    <t>CH Connection</t>
  </si>
  <si>
    <t>T39</t>
  </si>
  <si>
    <t>Harness Routine/Wire tie</t>
  </si>
  <si>
    <t>T40</t>
  </si>
  <si>
    <t>Panel Bolt</t>
  </si>
  <si>
    <t>T41</t>
  </si>
  <si>
    <t>Fan Torque</t>
  </si>
  <si>
    <t>T42</t>
  </si>
  <si>
    <t>Panel Earthing</t>
  </si>
  <si>
    <t>T43</t>
  </si>
  <si>
    <t>Space Heater Connection</t>
  </si>
  <si>
    <t>T44</t>
  </si>
  <si>
    <t>Radiator Hose Fittment</t>
  </si>
  <si>
    <t>T45</t>
  </si>
  <si>
    <t>Air cleaner Bkt fittment</t>
  </si>
  <si>
    <t>T46</t>
  </si>
  <si>
    <t>Air cleaner fittment</t>
  </si>
  <si>
    <t>T47</t>
  </si>
  <si>
    <t>Air Cleaner Hose fittment</t>
  </si>
  <si>
    <t>T48</t>
  </si>
  <si>
    <t>Air cleaner sensor</t>
  </si>
  <si>
    <t>T49</t>
  </si>
  <si>
    <t>Radiator Mounting</t>
  </si>
  <si>
    <t>T50</t>
  </si>
  <si>
    <t>Coolant Sensor fittment</t>
  </si>
  <si>
    <t>T51</t>
  </si>
  <si>
    <t xml:space="preserve">Battery pad </t>
  </si>
  <si>
    <t>T52</t>
  </si>
  <si>
    <t xml:space="preserve">Charging Alternator </t>
  </si>
  <si>
    <t>T53</t>
  </si>
  <si>
    <t xml:space="preserve">Wiring RHS </t>
  </si>
  <si>
    <t>T54</t>
  </si>
  <si>
    <t>Battery fittment</t>
  </si>
  <si>
    <t>T55</t>
  </si>
  <si>
    <t>Help to RSH side</t>
  </si>
  <si>
    <t>T56</t>
  </si>
  <si>
    <t>Fan Guard Engage</t>
  </si>
  <si>
    <t>T57</t>
  </si>
  <si>
    <t>Water Tube clamp tigting</t>
  </si>
  <si>
    <t>T58</t>
  </si>
  <si>
    <t>CAC Hose Pre assembly</t>
  </si>
  <si>
    <t>T59</t>
  </si>
  <si>
    <t>CAC</t>
  </si>
  <si>
    <t>T60</t>
  </si>
  <si>
    <t>Water tube</t>
  </si>
  <si>
    <t>T61</t>
  </si>
  <si>
    <t>fan guard tight</t>
  </si>
  <si>
    <t>T62</t>
  </si>
  <si>
    <t>Sticketing</t>
  </si>
  <si>
    <t>T63</t>
  </si>
  <si>
    <t>CAC BKT</t>
  </si>
  <si>
    <t>T64</t>
  </si>
  <si>
    <t>Clamp</t>
  </si>
  <si>
    <t>T65</t>
  </si>
  <si>
    <t>Wire tie</t>
  </si>
  <si>
    <t>T66</t>
  </si>
  <si>
    <t>Exhust Guard</t>
  </si>
  <si>
    <t>T67</t>
  </si>
  <si>
    <t>Top Cover</t>
  </si>
  <si>
    <t>T68</t>
  </si>
  <si>
    <t>Support Bkt</t>
  </si>
  <si>
    <t>T69</t>
  </si>
  <si>
    <t>Coolant</t>
  </si>
  <si>
    <t>T70</t>
  </si>
  <si>
    <t>Calibration</t>
  </si>
  <si>
    <t>T71</t>
  </si>
  <si>
    <t>Alternator Connection</t>
  </si>
  <si>
    <t>Cable Holder</t>
  </si>
  <si>
    <t>Engine unskidding</t>
  </si>
  <si>
    <t>Alternator Unskidding</t>
  </si>
  <si>
    <t>T72</t>
  </si>
  <si>
    <t>T73</t>
  </si>
  <si>
    <t>T74</t>
  </si>
  <si>
    <t>T75</t>
  </si>
  <si>
    <t>T3, T6, T9, T11, T16</t>
  </si>
  <si>
    <t>T12, T13</t>
  </si>
  <si>
    <t>T12, T14</t>
  </si>
  <si>
    <t>T24, T29</t>
  </si>
  <si>
    <t>T39, T31</t>
  </si>
  <si>
    <t>T39, T41</t>
  </si>
  <si>
    <t>T50, T51</t>
  </si>
  <si>
    <t>T53, T56</t>
  </si>
  <si>
    <t>T53, T61</t>
  </si>
  <si>
    <t>T43, T57, T59</t>
  </si>
  <si>
    <t>T17, T51</t>
  </si>
  <si>
    <t>Trolly feeding on Line</t>
  </si>
  <si>
    <t>Alternator wiring</t>
  </si>
  <si>
    <t>Jig Verify</t>
  </si>
  <si>
    <t>Toque verify</t>
  </si>
  <si>
    <t>Tighting AVM</t>
  </si>
  <si>
    <t>Radiator support fittment</t>
  </si>
  <si>
    <t>Air vent</t>
  </si>
  <si>
    <t>Filter assembly</t>
  </si>
  <si>
    <t>benjo bolt</t>
  </si>
  <si>
    <t xml:space="preserve">Panel plate </t>
  </si>
  <si>
    <t>CAC clamp Activity</t>
  </si>
  <si>
    <t>brace</t>
  </si>
  <si>
    <t>Earthing (raditor)</t>
  </si>
  <si>
    <t>clamp</t>
  </si>
  <si>
    <t>Top cover</t>
  </si>
  <si>
    <t>Breather tube fittment</t>
  </si>
  <si>
    <t>Engine support gap</t>
  </si>
  <si>
    <t>Red Bkt Activity (All)</t>
  </si>
  <si>
    <t>Temp Sensor</t>
  </si>
  <si>
    <t>Exhust guard BKT</t>
  </si>
  <si>
    <t>nipple pipe</t>
  </si>
  <si>
    <t>Exhust  elbow</t>
  </si>
  <si>
    <t>Actuator</t>
  </si>
  <si>
    <t>Disel Hose</t>
  </si>
  <si>
    <t>oil filler tube</t>
  </si>
  <si>
    <t>Pressure sendor Fittment</t>
  </si>
  <si>
    <t>Oil Pump</t>
  </si>
  <si>
    <t>Terminal plate</t>
  </si>
  <si>
    <t xml:space="preserve">Cable holder </t>
  </si>
  <si>
    <t>Panel BKT</t>
  </si>
  <si>
    <t>Name plate remove</t>
  </si>
  <si>
    <t>Name plate</t>
  </si>
  <si>
    <t>Stone guard</t>
  </si>
  <si>
    <t>hose clamp</t>
  </si>
  <si>
    <t>pulley guard</t>
  </si>
  <si>
    <t>p.ok</t>
  </si>
  <si>
    <t>Earthing bolt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</si>
  <si>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</si>
  <si>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</si>
  <si>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</si>
  <si>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</si>
  <si>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</si>
  <si>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</si>
  <si>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</si>
  <si>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</si>
  <si>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</si>
  <si>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</si>
  <si>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</si>
  <si>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</si>
  <si>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</si>
  <si>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</si>
  <si>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</si>
  <si>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</si>
  <si>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</si>
  <si>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QSB7</t>
  </si>
  <si>
    <t>Phase 1/2</t>
  </si>
  <si>
    <t>B 3.3</t>
  </si>
  <si>
    <t>Making Terminal Box</t>
  </si>
  <si>
    <t>Drain Oil Adaptor</t>
  </si>
  <si>
    <t>Throttle</t>
  </si>
  <si>
    <t>Terminal Box fittment</t>
  </si>
  <si>
    <t>Toruqe</t>
  </si>
  <si>
    <t>SD coil/Actuator</t>
  </si>
  <si>
    <t>Brace Making</t>
  </si>
  <si>
    <t>Brace</t>
  </si>
  <si>
    <t xml:space="preserve">inlet hose </t>
  </si>
  <si>
    <t>X 3.3</t>
  </si>
  <si>
    <t>Tighting Neck filler</t>
  </si>
  <si>
    <t>Remove Red BKT hardware</t>
  </si>
  <si>
    <t>X 2.5</t>
  </si>
  <si>
    <t>Neck filler fittment/cap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</si>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</sst>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0" fillId="0" borderId="2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43" fontId="0" fillId="2" borderId="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88A8-D320-4F1E-AFCC-3DB09CC6F136}">
  <sheetPr codeName="Sheet1">
    <pageSetUpPr fitToPage="1"/>
  </sheetPr>
  <dimension ref="A1:L80"/>
  <sheetViews>
    <sheetView workbookViewId="0">
      <selection activeCell="H5" sqref="H5:H9"/>
    </sheetView>
  </sheetViews>
  <sheetFormatPr defaultRowHeight="14.5" x14ac:dyDescent="0.35"/>
  <cols>
    <col min="1" max="1" width="8.90625" style="1" bestFit="1" customWidth="1"/>
    <col min="2" max="2" width="22.1796875" style="1" bestFit="1" customWidth="1"/>
    <col min="3" max="3" width="16.36328125" style="1" bestFit="1" customWidth="1"/>
    <col min="4" max="4" width="16.36328125" style="6" bestFit="1" customWidth="1"/>
    <col min="5" max="5" width="33.453125" style="6" customWidth="1"/>
    <col min="6" max="6" width="12.6328125" style="6" customWidth="1"/>
    <col min="7" max="8" width="14.7265625" style="6" bestFit="1" customWidth="1"/>
    <col min="9" max="9" width="14.7265625" style="1" bestFit="1" customWidth="1"/>
    <col min="10" max="11" width="8.7265625" style="1"/>
    <col min="12" max="12" width="15.90625" style="1" bestFit="1" customWidth="1"/>
    <col min="13" max="16384" width="8.7265625" style="1"/>
  </cols>
  <sheetData>
    <row r="1" spans="1:12" x14ac:dyDescent="0.35">
      <c r="B1" s="2" t="s">
        <v>0</v>
      </c>
      <c r="C1" s="2" t="s">
        <v>1</v>
      </c>
      <c r="G1" s="6">
        <f>G4*1.75</f>
        <v>42.297499999999999</v>
      </c>
      <c r="K1" s="1">
        <f>40/1.75</f>
        <v>22.857142857142858</v>
      </c>
    </row>
    <row r="2" spans="1:12" x14ac:dyDescent="0.35">
      <c r="D2" s="1"/>
      <c r="E2" s="1"/>
      <c r="F2" s="1"/>
    </row>
    <row r="3" spans="1:12" ht="15" customHeight="1" x14ac:dyDescent="0.35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8</v>
      </c>
      <c r="I3" s="5" t="s">
        <v>9</v>
      </c>
    </row>
    <row r="4" spans="1:12" ht="15" customHeight="1" x14ac:dyDescent="0.35">
      <c r="A4" s="1" t="s">
        <v>10</v>
      </c>
      <c r="B4" s="2"/>
      <c r="C4" s="3">
        <f>SUM(C5:C79)</f>
        <v>12714</v>
      </c>
      <c r="D4" s="3">
        <f>SUM(D5:D79)</f>
        <v>211.9</v>
      </c>
      <c r="E4" s="3"/>
      <c r="F4" s="3"/>
      <c r="G4" s="3">
        <f>SUM(G5:G79)</f>
        <v>24.169999999999998</v>
      </c>
      <c r="H4" s="4">
        <f>SUM(H5:H79)</f>
        <v>40.547500000000007</v>
      </c>
      <c r="I4" s="2"/>
    </row>
    <row r="5" spans="1:12" ht="15" customHeight="1" x14ac:dyDescent="0.35">
      <c r="A5" s="1" t="s">
        <v>11</v>
      </c>
      <c r="B5" s="9" t="s">
        <v>155</v>
      </c>
      <c r="C5" s="14">
        <v>595</v>
      </c>
      <c r="D5" s="15">
        <f t="shared" ref="D5:D8" si="0">C5/60</f>
        <v>9.9166666666666661</v>
      </c>
      <c r="E5" s="3"/>
      <c r="F5" s="3"/>
      <c r="G5" s="3">
        <v>1</v>
      </c>
      <c r="H5" s="4" t="s">
        <v>245</v>
      </c>
      <c r="I5" s="2"/>
    </row>
    <row r="6" spans="1:12" ht="15" customHeight="1" x14ac:dyDescent="0.35">
      <c r="A6" s="1" t="s">
        <v>13</v>
      </c>
      <c r="B6" s="2" t="s">
        <v>156</v>
      </c>
      <c r="C6" s="7">
        <v>180</v>
      </c>
      <c r="D6" s="3">
        <f t="shared" si="0"/>
        <v>3</v>
      </c>
      <c r="E6" s="3"/>
      <c r="F6" s="3"/>
      <c r="G6" s="3">
        <v>0.17</v>
      </c>
      <c r="H6" s="4">
        <f t="shared" ref="H5:H9" si="1">G6*1.75</f>
        <v>0.29750000000000004</v>
      </c>
      <c r="I6" s="2"/>
    </row>
    <row r="7" spans="1:12" ht="15" customHeight="1" x14ac:dyDescent="0.35">
      <c r="A7" s="1" t="s">
        <v>16</v>
      </c>
      <c r="B7" s="9" t="s">
        <v>157</v>
      </c>
      <c r="C7" s="14">
        <v>22</v>
      </c>
      <c r="D7" s="15">
        <f t="shared" si="0"/>
        <v>0.36666666666666664</v>
      </c>
      <c r="E7" s="3"/>
      <c r="F7" s="3"/>
      <c r="G7" s="3">
        <v>1</v>
      </c>
      <c r="H7" s="4">
        <f t="shared" si="1"/>
        <v>1.75</v>
      </c>
      <c r="I7" s="2"/>
    </row>
    <row r="8" spans="1:12" ht="15" customHeight="1" x14ac:dyDescent="0.35">
      <c r="A8" s="1" t="s">
        <v>19</v>
      </c>
      <c r="B8" s="9" t="s">
        <v>158</v>
      </c>
      <c r="C8" s="14">
        <v>83</v>
      </c>
      <c r="D8" s="15">
        <f t="shared" si="0"/>
        <v>1.3833333333333333</v>
      </c>
      <c r="E8" s="3"/>
      <c r="F8" s="3"/>
      <c r="G8" s="3">
        <v>1</v>
      </c>
      <c r="H8" s="4">
        <f t="shared" si="1"/>
        <v>1.75</v>
      </c>
      <c r="I8" s="2"/>
    </row>
    <row r="9" spans="1:12" ht="14.5" customHeight="1" x14ac:dyDescent="0.35">
      <c r="A9" s="1" t="s">
        <v>22</v>
      </c>
      <c r="B9" s="9" t="s">
        <v>12</v>
      </c>
      <c r="C9" s="14">
        <v>176</v>
      </c>
      <c r="D9" s="15">
        <f>C9/60</f>
        <v>2.9333333333333331</v>
      </c>
      <c r="E9" s="3"/>
      <c r="F9" s="3"/>
      <c r="G9" s="4">
        <f>1/6</f>
        <v>0.16666666666666666</v>
      </c>
      <c r="H9" s="4">
        <f t="shared" si="1"/>
        <v>0.29166666666666663</v>
      </c>
      <c r="I9" s="2">
        <v>0</v>
      </c>
    </row>
    <row r="10" spans="1:12" x14ac:dyDescent="0.35">
      <c r="A10" s="1" t="s">
        <v>24</v>
      </c>
      <c r="B10" s="9" t="s">
        <v>14</v>
      </c>
      <c r="C10" s="14">
        <v>110</v>
      </c>
      <c r="D10" s="15">
        <f t="shared" ref="D10:D73" si="2">C10/60</f>
        <v>1.8333333333333333</v>
      </c>
      <c r="E10" s="3"/>
      <c r="F10" s="3"/>
      <c r="G10" s="4">
        <f>1/6</f>
        <v>0.16666666666666666</v>
      </c>
      <c r="H10" s="4">
        <f t="shared" ref="H10:H73" si="3">G10*1.75</f>
        <v>0.29166666666666663</v>
      </c>
      <c r="I10" s="2">
        <v>0</v>
      </c>
      <c r="L10" s="1" t="s">
        <v>15</v>
      </c>
    </row>
    <row r="11" spans="1:12" x14ac:dyDescent="0.35">
      <c r="A11" s="1" t="s">
        <v>26</v>
      </c>
      <c r="B11" s="9" t="s">
        <v>20</v>
      </c>
      <c r="C11" s="14">
        <v>58</v>
      </c>
      <c r="D11" s="15">
        <f>C11/60</f>
        <v>0.96666666666666667</v>
      </c>
      <c r="E11" s="3"/>
      <c r="F11" s="3"/>
      <c r="G11" s="4">
        <f>1/6</f>
        <v>0.16666666666666666</v>
      </c>
      <c r="H11" s="4">
        <f>G11*1.75</f>
        <v>0.29166666666666663</v>
      </c>
      <c r="I11" s="2">
        <v>0</v>
      </c>
      <c r="L11" s="1" t="s">
        <v>21</v>
      </c>
    </row>
    <row r="12" spans="1:12" x14ac:dyDescent="0.35">
      <c r="A12" s="1" t="s">
        <v>28</v>
      </c>
      <c r="B12" s="9" t="s">
        <v>17</v>
      </c>
      <c r="C12" s="14">
        <v>28</v>
      </c>
      <c r="D12" s="15">
        <f t="shared" si="2"/>
        <v>0.46666666666666667</v>
      </c>
      <c r="E12" s="3"/>
      <c r="F12" s="3"/>
      <c r="G12" s="4">
        <f>1/6</f>
        <v>0.16666666666666666</v>
      </c>
      <c r="H12" s="4">
        <f t="shared" si="3"/>
        <v>0.29166666666666663</v>
      </c>
      <c r="I12" s="2">
        <v>0</v>
      </c>
      <c r="L12" s="1" t="s">
        <v>18</v>
      </c>
    </row>
    <row r="13" spans="1:12" x14ac:dyDescent="0.35">
      <c r="A13" s="1" t="s">
        <v>30</v>
      </c>
      <c r="B13" s="16" t="s">
        <v>23</v>
      </c>
      <c r="C13" s="17">
        <v>143</v>
      </c>
      <c r="D13" s="18">
        <f t="shared" si="2"/>
        <v>2.3833333333333333</v>
      </c>
      <c r="E13" s="3"/>
      <c r="F13" s="3"/>
      <c r="G13" s="4">
        <f>1/6</f>
        <v>0.16666666666666666</v>
      </c>
      <c r="H13" s="4">
        <f t="shared" si="3"/>
        <v>0.29166666666666663</v>
      </c>
      <c r="I13" s="2">
        <v>0</v>
      </c>
    </row>
    <row r="14" spans="1:12" x14ac:dyDescent="0.35">
      <c r="A14" s="1" t="s">
        <v>32</v>
      </c>
      <c r="B14" s="9" t="s">
        <v>25</v>
      </c>
      <c r="C14" s="14">
        <v>26</v>
      </c>
      <c r="D14" s="15">
        <f t="shared" si="2"/>
        <v>0.43333333333333335</v>
      </c>
      <c r="E14" s="8" t="s">
        <v>26</v>
      </c>
      <c r="F14" s="3"/>
      <c r="G14" s="4">
        <f>1/8</f>
        <v>0.125</v>
      </c>
      <c r="H14" s="4">
        <f t="shared" si="3"/>
        <v>0.21875</v>
      </c>
      <c r="I14" s="2">
        <v>0</v>
      </c>
    </row>
    <row r="15" spans="1:12" x14ac:dyDescent="0.35">
      <c r="A15" s="1" t="s">
        <v>34</v>
      </c>
      <c r="B15" s="2" t="s">
        <v>27</v>
      </c>
      <c r="C15" s="7">
        <v>150</v>
      </c>
      <c r="D15" s="3">
        <f t="shared" si="2"/>
        <v>2.5</v>
      </c>
      <c r="E15" s="3"/>
      <c r="F15" s="3"/>
      <c r="G15" s="4">
        <f>1/8</f>
        <v>0.125</v>
      </c>
      <c r="H15" s="4">
        <f t="shared" si="3"/>
        <v>0.21875</v>
      </c>
      <c r="I15" s="2">
        <v>1</v>
      </c>
    </row>
    <row r="16" spans="1:12" x14ac:dyDescent="0.35">
      <c r="A16" s="1" t="s">
        <v>36</v>
      </c>
      <c r="B16" s="9" t="s">
        <v>29</v>
      </c>
      <c r="C16" s="14">
        <v>237</v>
      </c>
      <c r="D16" s="15">
        <f t="shared" si="2"/>
        <v>3.95</v>
      </c>
      <c r="E16" s="3" t="s">
        <v>163</v>
      </c>
      <c r="F16" s="3"/>
      <c r="G16" s="4">
        <f>1/8</f>
        <v>0.125</v>
      </c>
      <c r="H16" s="4">
        <f t="shared" si="3"/>
        <v>0.21875</v>
      </c>
      <c r="I16" s="2">
        <v>1</v>
      </c>
    </row>
    <row r="17" spans="1:9" x14ac:dyDescent="0.35">
      <c r="A17" s="1" t="s">
        <v>38</v>
      </c>
      <c r="B17" s="9" t="s">
        <v>31</v>
      </c>
      <c r="C17" s="14">
        <v>96</v>
      </c>
      <c r="D17" s="15">
        <f t="shared" si="2"/>
        <v>1.6</v>
      </c>
      <c r="E17" s="3"/>
      <c r="F17" s="3"/>
      <c r="G17" s="4">
        <f>1/8</f>
        <v>0.125</v>
      </c>
      <c r="H17" s="4">
        <f t="shared" si="3"/>
        <v>0.21875</v>
      </c>
      <c r="I17" s="2">
        <v>0</v>
      </c>
    </row>
    <row r="18" spans="1:9" x14ac:dyDescent="0.35">
      <c r="A18" s="1" t="s">
        <v>40</v>
      </c>
      <c r="B18" s="9" t="s">
        <v>33</v>
      </c>
      <c r="C18" s="14">
        <v>253</v>
      </c>
      <c r="D18" s="15">
        <f t="shared" si="2"/>
        <v>4.2166666666666668</v>
      </c>
      <c r="E18" s="3" t="s">
        <v>164</v>
      </c>
      <c r="F18" s="3"/>
      <c r="G18" s="4">
        <f>1/2</f>
        <v>0.5</v>
      </c>
      <c r="H18" s="4">
        <f t="shared" si="3"/>
        <v>0.875</v>
      </c>
      <c r="I18" s="2">
        <v>1</v>
      </c>
    </row>
    <row r="19" spans="1:9" x14ac:dyDescent="0.35">
      <c r="A19" s="1" t="s">
        <v>42</v>
      </c>
      <c r="B19" s="2" t="s">
        <v>35</v>
      </c>
      <c r="C19" s="7">
        <v>60</v>
      </c>
      <c r="D19" s="3">
        <f t="shared" si="2"/>
        <v>1</v>
      </c>
      <c r="E19" s="3" t="s">
        <v>165</v>
      </c>
      <c r="F19" s="3"/>
      <c r="G19" s="4">
        <f>1/4</f>
        <v>0.25</v>
      </c>
      <c r="H19" s="4">
        <f t="shared" si="3"/>
        <v>0.4375</v>
      </c>
      <c r="I19" s="2">
        <v>0</v>
      </c>
    </row>
    <row r="20" spans="1:9" x14ac:dyDescent="0.35">
      <c r="A20" s="1" t="s">
        <v>44</v>
      </c>
      <c r="B20" s="2" t="s">
        <v>37</v>
      </c>
      <c r="C20" s="7">
        <v>50</v>
      </c>
      <c r="D20" s="3">
        <f t="shared" si="2"/>
        <v>0.83333333333333337</v>
      </c>
      <c r="E20" s="3" t="s">
        <v>30</v>
      </c>
      <c r="F20" s="3"/>
      <c r="G20" s="4">
        <f>1/8</f>
        <v>0.125</v>
      </c>
      <c r="H20" s="4">
        <f t="shared" si="3"/>
        <v>0.21875</v>
      </c>
      <c r="I20" s="2">
        <v>0</v>
      </c>
    </row>
    <row r="21" spans="1:9" x14ac:dyDescent="0.35">
      <c r="A21" s="1" t="s">
        <v>46</v>
      </c>
      <c r="B21" s="9" t="s">
        <v>39</v>
      </c>
      <c r="C21" s="14">
        <v>118</v>
      </c>
      <c r="D21" s="15">
        <f t="shared" si="2"/>
        <v>1.9666666666666666</v>
      </c>
      <c r="E21" s="3" t="s">
        <v>36</v>
      </c>
      <c r="F21" s="3"/>
      <c r="G21" s="4">
        <f>1/8</f>
        <v>0.125</v>
      </c>
      <c r="H21" s="4">
        <f t="shared" si="3"/>
        <v>0.21875</v>
      </c>
      <c r="I21" s="2">
        <v>0</v>
      </c>
    </row>
    <row r="22" spans="1:9" ht="14.5" customHeight="1" x14ac:dyDescent="0.35">
      <c r="A22" s="1" t="s">
        <v>48</v>
      </c>
      <c r="B22" s="2" t="s">
        <v>41</v>
      </c>
      <c r="C22" s="7">
        <v>50</v>
      </c>
      <c r="D22" s="3">
        <f t="shared" si="2"/>
        <v>0.83333333333333337</v>
      </c>
      <c r="E22" s="3" t="s">
        <v>165</v>
      </c>
      <c r="F22" s="3"/>
      <c r="G22" s="4">
        <v>0.2</v>
      </c>
      <c r="H22" s="4">
        <f t="shared" si="3"/>
        <v>0.35000000000000003</v>
      </c>
      <c r="I22" s="2">
        <v>0</v>
      </c>
    </row>
    <row r="23" spans="1:9" x14ac:dyDescent="0.35">
      <c r="A23" s="1" t="s">
        <v>50</v>
      </c>
      <c r="B23" s="2" t="s">
        <v>43</v>
      </c>
      <c r="C23" s="7">
        <v>90</v>
      </c>
      <c r="D23" s="3">
        <f t="shared" si="2"/>
        <v>1.5</v>
      </c>
      <c r="E23" s="3" t="s">
        <v>40</v>
      </c>
      <c r="F23" s="3"/>
      <c r="G23" s="4">
        <v>0.5</v>
      </c>
      <c r="H23" s="4">
        <f t="shared" si="3"/>
        <v>0.875</v>
      </c>
      <c r="I23" s="2">
        <v>1</v>
      </c>
    </row>
    <row r="24" spans="1:9" x14ac:dyDescent="0.35">
      <c r="A24" s="1" t="s">
        <v>52</v>
      </c>
      <c r="B24" s="2" t="s">
        <v>45</v>
      </c>
      <c r="C24" s="7">
        <v>120</v>
      </c>
      <c r="D24" s="3">
        <f t="shared" si="2"/>
        <v>2</v>
      </c>
      <c r="E24" s="3" t="s">
        <v>36</v>
      </c>
      <c r="F24" s="3"/>
      <c r="G24" s="4">
        <v>0.3</v>
      </c>
      <c r="H24" s="4">
        <f t="shared" si="3"/>
        <v>0.52500000000000002</v>
      </c>
      <c r="I24" s="2">
        <v>1</v>
      </c>
    </row>
    <row r="25" spans="1:9" ht="14.5" customHeight="1" x14ac:dyDescent="0.35">
      <c r="A25" s="1" t="s">
        <v>54</v>
      </c>
      <c r="B25" s="9" t="s">
        <v>47</v>
      </c>
      <c r="C25" s="14">
        <v>141</v>
      </c>
      <c r="D25" s="15">
        <f t="shared" si="2"/>
        <v>2.35</v>
      </c>
      <c r="E25" s="3" t="s">
        <v>36</v>
      </c>
      <c r="F25" s="3"/>
      <c r="G25" s="4">
        <f>1/3</f>
        <v>0.33333333333333331</v>
      </c>
      <c r="H25" s="4">
        <f t="shared" si="3"/>
        <v>0.58333333333333326</v>
      </c>
      <c r="I25" s="2">
        <v>1</v>
      </c>
    </row>
    <row r="26" spans="1:9" x14ac:dyDescent="0.35">
      <c r="A26" s="1" t="s">
        <v>56</v>
      </c>
      <c r="B26" s="2" t="s">
        <v>49</v>
      </c>
      <c r="C26" s="7">
        <v>120</v>
      </c>
      <c r="D26" s="3">
        <f t="shared" si="2"/>
        <v>2</v>
      </c>
      <c r="E26" s="3" t="s">
        <v>34</v>
      </c>
      <c r="F26" s="3"/>
      <c r="G26" s="4">
        <f>1/3</f>
        <v>0.33333333333333331</v>
      </c>
      <c r="H26" s="4">
        <f t="shared" si="3"/>
        <v>0.58333333333333326</v>
      </c>
      <c r="I26" s="2">
        <v>0</v>
      </c>
    </row>
    <row r="27" spans="1:9" x14ac:dyDescent="0.35">
      <c r="A27" s="1" t="s">
        <v>58</v>
      </c>
      <c r="B27" s="2" t="s">
        <v>51</v>
      </c>
      <c r="C27" s="7">
        <v>120</v>
      </c>
      <c r="D27" s="3">
        <f t="shared" si="2"/>
        <v>2</v>
      </c>
      <c r="E27" s="3" t="s">
        <v>50</v>
      </c>
      <c r="F27" s="3"/>
      <c r="G27" s="4">
        <f>1/3</f>
        <v>0.33333333333333331</v>
      </c>
      <c r="H27" s="4">
        <f t="shared" si="3"/>
        <v>0.58333333333333326</v>
      </c>
      <c r="I27" s="2">
        <v>0</v>
      </c>
    </row>
    <row r="28" spans="1:9" x14ac:dyDescent="0.35">
      <c r="A28" s="1" t="s">
        <v>60</v>
      </c>
      <c r="B28" s="2" t="s">
        <v>53</v>
      </c>
      <c r="C28" s="7">
        <v>240</v>
      </c>
      <c r="D28" s="3">
        <f t="shared" si="2"/>
        <v>4</v>
      </c>
      <c r="E28" s="3"/>
      <c r="F28" s="3"/>
      <c r="G28" s="4">
        <v>0.5</v>
      </c>
      <c r="H28" s="4">
        <f t="shared" si="3"/>
        <v>0.875</v>
      </c>
      <c r="I28" s="2">
        <v>1</v>
      </c>
    </row>
    <row r="29" spans="1:9" x14ac:dyDescent="0.35">
      <c r="A29" s="1" t="s">
        <v>62</v>
      </c>
      <c r="B29" s="2" t="s">
        <v>55</v>
      </c>
      <c r="C29" s="7">
        <v>180</v>
      </c>
      <c r="D29" s="3">
        <f t="shared" si="2"/>
        <v>3</v>
      </c>
      <c r="E29" s="3" t="s">
        <v>36</v>
      </c>
      <c r="F29" s="3"/>
      <c r="G29" s="4">
        <v>0.5</v>
      </c>
      <c r="H29" s="4">
        <f t="shared" si="3"/>
        <v>0.875</v>
      </c>
      <c r="I29" s="2">
        <v>0</v>
      </c>
    </row>
    <row r="30" spans="1:9" ht="15" customHeight="1" x14ac:dyDescent="0.35">
      <c r="A30" s="1" t="s">
        <v>64</v>
      </c>
      <c r="B30" s="2" t="s">
        <v>57</v>
      </c>
      <c r="C30" s="7">
        <v>150</v>
      </c>
      <c r="D30" s="3">
        <f t="shared" si="2"/>
        <v>2.5</v>
      </c>
      <c r="E30" s="3" t="s">
        <v>36</v>
      </c>
      <c r="F30" s="3"/>
      <c r="G30" s="4">
        <v>0.25</v>
      </c>
      <c r="H30" s="4">
        <f t="shared" si="3"/>
        <v>0.4375</v>
      </c>
      <c r="I30" s="2">
        <v>0</v>
      </c>
    </row>
    <row r="31" spans="1:9" x14ac:dyDescent="0.35">
      <c r="A31" s="1" t="s">
        <v>66</v>
      </c>
      <c r="B31" s="2" t="s">
        <v>59</v>
      </c>
      <c r="C31" s="7">
        <v>150</v>
      </c>
      <c r="D31" s="3">
        <f t="shared" si="2"/>
        <v>2.5</v>
      </c>
      <c r="E31" s="3" t="s">
        <v>40</v>
      </c>
      <c r="F31" s="3"/>
      <c r="G31" s="4">
        <v>0.25</v>
      </c>
      <c r="H31" s="4">
        <f t="shared" si="3"/>
        <v>0.4375</v>
      </c>
      <c r="I31" s="2">
        <v>0</v>
      </c>
    </row>
    <row r="32" spans="1:9" x14ac:dyDescent="0.35">
      <c r="A32" s="1" t="s">
        <v>68</v>
      </c>
      <c r="B32" s="9" t="s">
        <v>61</v>
      </c>
      <c r="C32" s="14">
        <v>165</v>
      </c>
      <c r="D32" s="15">
        <f t="shared" si="2"/>
        <v>2.75</v>
      </c>
      <c r="E32" s="3" t="s">
        <v>40</v>
      </c>
      <c r="F32" s="3"/>
      <c r="G32" s="4">
        <f>1/6</f>
        <v>0.16666666666666666</v>
      </c>
      <c r="H32" s="4">
        <f t="shared" si="3"/>
        <v>0.29166666666666663</v>
      </c>
      <c r="I32" s="2">
        <v>0</v>
      </c>
    </row>
    <row r="33" spans="1:9" x14ac:dyDescent="0.35">
      <c r="A33" s="1" t="s">
        <v>70</v>
      </c>
      <c r="B33" s="2" t="s">
        <v>63</v>
      </c>
      <c r="C33" s="7">
        <v>180</v>
      </c>
      <c r="D33" s="3">
        <f t="shared" si="2"/>
        <v>3</v>
      </c>
      <c r="E33" s="3" t="s">
        <v>40</v>
      </c>
      <c r="F33" s="3"/>
      <c r="G33" s="4">
        <f>1/6</f>
        <v>0.16666666666666666</v>
      </c>
      <c r="H33" s="4">
        <f t="shared" si="3"/>
        <v>0.29166666666666663</v>
      </c>
      <c r="I33" s="2">
        <v>0</v>
      </c>
    </row>
    <row r="34" spans="1:9" x14ac:dyDescent="0.35">
      <c r="A34" s="1" t="s">
        <v>72</v>
      </c>
      <c r="B34" s="2" t="s">
        <v>65</v>
      </c>
      <c r="C34" s="7">
        <v>80</v>
      </c>
      <c r="D34" s="3">
        <f t="shared" si="2"/>
        <v>1.3333333333333333</v>
      </c>
      <c r="E34" s="3" t="s">
        <v>40</v>
      </c>
      <c r="F34" s="3"/>
      <c r="G34" s="4">
        <f>1/6</f>
        <v>0.16666666666666666</v>
      </c>
      <c r="H34" s="4">
        <f t="shared" si="3"/>
        <v>0.29166666666666663</v>
      </c>
      <c r="I34" s="2">
        <v>0</v>
      </c>
    </row>
    <row r="35" spans="1:9" x14ac:dyDescent="0.35">
      <c r="A35" s="1" t="s">
        <v>74</v>
      </c>
      <c r="B35" s="2" t="s">
        <v>67</v>
      </c>
      <c r="C35" s="7">
        <v>80</v>
      </c>
      <c r="D35" s="3">
        <f t="shared" si="2"/>
        <v>1.3333333333333333</v>
      </c>
      <c r="E35" s="3" t="s">
        <v>64</v>
      </c>
      <c r="F35" s="3"/>
      <c r="G35" s="4">
        <f>1/3</f>
        <v>0.33333333333333331</v>
      </c>
      <c r="H35" s="4">
        <f t="shared" si="3"/>
        <v>0.58333333333333326</v>
      </c>
      <c r="I35" s="2">
        <v>0</v>
      </c>
    </row>
    <row r="36" spans="1:9" x14ac:dyDescent="0.35">
      <c r="A36" s="1" t="s">
        <v>76</v>
      </c>
      <c r="B36" s="2" t="s">
        <v>69</v>
      </c>
      <c r="C36" s="7">
        <v>80</v>
      </c>
      <c r="D36" s="3">
        <f t="shared" si="2"/>
        <v>1.3333333333333333</v>
      </c>
      <c r="E36" s="3" t="s">
        <v>74</v>
      </c>
      <c r="F36" s="3"/>
      <c r="G36" s="4">
        <f>1/6</f>
        <v>0.16666666666666666</v>
      </c>
      <c r="H36" s="4">
        <f t="shared" si="3"/>
        <v>0.29166666666666663</v>
      </c>
      <c r="I36" s="2">
        <v>0</v>
      </c>
    </row>
    <row r="37" spans="1:9" x14ac:dyDescent="0.35">
      <c r="A37" s="1" t="s">
        <v>78</v>
      </c>
      <c r="B37" s="2" t="s">
        <v>71</v>
      </c>
      <c r="C37" s="7">
        <v>120</v>
      </c>
      <c r="D37" s="3">
        <f t="shared" si="2"/>
        <v>2</v>
      </c>
      <c r="E37" s="3" t="s">
        <v>68</v>
      </c>
      <c r="F37" s="3"/>
      <c r="G37" s="4">
        <f>1/6</f>
        <v>0.16666666666666666</v>
      </c>
      <c r="H37" s="4">
        <f t="shared" si="3"/>
        <v>0.29166666666666663</v>
      </c>
      <c r="I37" s="2">
        <v>0</v>
      </c>
    </row>
    <row r="38" spans="1:9" x14ac:dyDescent="0.35">
      <c r="A38" s="1" t="s">
        <v>80</v>
      </c>
      <c r="B38" s="2" t="s">
        <v>73</v>
      </c>
      <c r="C38" s="7">
        <v>120</v>
      </c>
      <c r="D38" s="3">
        <f t="shared" si="2"/>
        <v>2</v>
      </c>
      <c r="E38" s="3"/>
      <c r="F38" s="3"/>
      <c r="G38" s="4">
        <f>1/6</f>
        <v>0.16666666666666666</v>
      </c>
      <c r="H38" s="4">
        <f t="shared" si="3"/>
        <v>0.29166666666666663</v>
      </c>
      <c r="I38" s="2">
        <v>0</v>
      </c>
    </row>
    <row r="39" spans="1:9" ht="14.5" customHeight="1" x14ac:dyDescent="0.35">
      <c r="A39" s="1" t="s">
        <v>82</v>
      </c>
      <c r="B39" s="2" t="s">
        <v>75</v>
      </c>
      <c r="C39" s="7">
        <v>240</v>
      </c>
      <c r="D39" s="3">
        <f t="shared" si="2"/>
        <v>4</v>
      </c>
      <c r="E39" s="3" t="s">
        <v>60</v>
      </c>
      <c r="F39" s="3"/>
      <c r="G39" s="4">
        <f t="shared" ref="G39:G44" si="4">1/3</f>
        <v>0.33333333333333331</v>
      </c>
      <c r="H39" s="4">
        <f t="shared" si="3"/>
        <v>0.58333333333333326</v>
      </c>
      <c r="I39" s="2">
        <v>0</v>
      </c>
    </row>
    <row r="40" spans="1:9" x14ac:dyDescent="0.35">
      <c r="A40" s="1" t="s">
        <v>84</v>
      </c>
      <c r="B40" s="2" t="s">
        <v>77</v>
      </c>
      <c r="C40" s="7">
        <v>180</v>
      </c>
      <c r="D40" s="3">
        <f t="shared" si="2"/>
        <v>3</v>
      </c>
      <c r="E40" s="3" t="s">
        <v>166</v>
      </c>
      <c r="F40" s="3"/>
      <c r="G40" s="4">
        <f t="shared" si="4"/>
        <v>0.33333333333333331</v>
      </c>
      <c r="H40" s="4">
        <f t="shared" si="3"/>
        <v>0.58333333333333326</v>
      </c>
      <c r="I40" s="2">
        <v>0</v>
      </c>
    </row>
    <row r="41" spans="1:9" x14ac:dyDescent="0.35">
      <c r="A41" s="1" t="s">
        <v>86</v>
      </c>
      <c r="B41" s="2" t="s">
        <v>79</v>
      </c>
      <c r="C41" s="7">
        <v>240</v>
      </c>
      <c r="D41" s="3">
        <f t="shared" si="2"/>
        <v>4</v>
      </c>
      <c r="E41" s="3"/>
      <c r="F41" s="3"/>
      <c r="G41" s="4">
        <f t="shared" si="4"/>
        <v>0.33333333333333331</v>
      </c>
      <c r="H41" s="4">
        <f t="shared" si="3"/>
        <v>0.58333333333333326</v>
      </c>
      <c r="I41" s="2">
        <v>0</v>
      </c>
    </row>
    <row r="42" spans="1:9" ht="14.5" customHeight="1" x14ac:dyDescent="0.35">
      <c r="A42" s="1" t="s">
        <v>88</v>
      </c>
      <c r="B42" s="2" t="s">
        <v>81</v>
      </c>
      <c r="C42" s="7">
        <v>150</v>
      </c>
      <c r="D42" s="3">
        <f t="shared" si="2"/>
        <v>2.5</v>
      </c>
      <c r="E42" s="3"/>
      <c r="F42" s="3"/>
      <c r="G42" s="4">
        <f t="shared" si="4"/>
        <v>0.33333333333333331</v>
      </c>
      <c r="H42" s="4">
        <f t="shared" si="3"/>
        <v>0.58333333333333326</v>
      </c>
      <c r="I42" s="2">
        <v>0</v>
      </c>
    </row>
    <row r="43" spans="1:9" x14ac:dyDescent="0.35">
      <c r="A43" s="1" t="s">
        <v>90</v>
      </c>
      <c r="B43" s="2" t="s">
        <v>83</v>
      </c>
      <c r="C43" s="7">
        <v>120</v>
      </c>
      <c r="D43" s="3">
        <f t="shared" si="2"/>
        <v>2</v>
      </c>
      <c r="E43" s="3" t="s">
        <v>78</v>
      </c>
      <c r="F43" s="3"/>
      <c r="G43" s="4">
        <f t="shared" si="4"/>
        <v>0.33333333333333331</v>
      </c>
      <c r="H43" s="4">
        <f t="shared" si="3"/>
        <v>0.58333333333333326</v>
      </c>
      <c r="I43" s="2">
        <v>1</v>
      </c>
    </row>
    <row r="44" spans="1:9" x14ac:dyDescent="0.35">
      <c r="A44" s="1" t="s">
        <v>92</v>
      </c>
      <c r="B44" s="2" t="s">
        <v>85</v>
      </c>
      <c r="C44" s="7">
        <v>120</v>
      </c>
      <c r="D44" s="3">
        <f t="shared" si="2"/>
        <v>2</v>
      </c>
      <c r="E44" s="3" t="s">
        <v>60</v>
      </c>
      <c r="F44" s="3"/>
      <c r="G44" s="4">
        <f t="shared" si="4"/>
        <v>0.33333333333333331</v>
      </c>
      <c r="H44" s="4">
        <f t="shared" si="3"/>
        <v>0.58333333333333326</v>
      </c>
      <c r="I44" s="2">
        <v>0</v>
      </c>
    </row>
    <row r="45" spans="1:9" x14ac:dyDescent="0.35">
      <c r="A45" s="1" t="s">
        <v>94</v>
      </c>
      <c r="B45" s="2" t="s">
        <v>87</v>
      </c>
      <c r="C45" s="7">
        <v>240</v>
      </c>
      <c r="D45" s="3">
        <f t="shared" si="2"/>
        <v>4</v>
      </c>
      <c r="E45" s="3" t="s">
        <v>90</v>
      </c>
      <c r="F45" s="3"/>
      <c r="G45" s="4">
        <v>0.3</v>
      </c>
      <c r="H45" s="4">
        <f t="shared" si="3"/>
        <v>0.52500000000000002</v>
      </c>
      <c r="I45" s="2">
        <v>0</v>
      </c>
    </row>
    <row r="46" spans="1:9" x14ac:dyDescent="0.35">
      <c r="A46" s="1" t="s">
        <v>96</v>
      </c>
      <c r="B46" s="2" t="s">
        <v>89</v>
      </c>
      <c r="C46" s="7">
        <v>150</v>
      </c>
      <c r="D46" s="3">
        <f t="shared" si="2"/>
        <v>2.5</v>
      </c>
      <c r="E46" s="3" t="s">
        <v>167</v>
      </c>
      <c r="F46" s="3"/>
      <c r="G46" s="4">
        <v>0.3</v>
      </c>
      <c r="H46" s="4">
        <f t="shared" si="3"/>
        <v>0.52500000000000002</v>
      </c>
      <c r="I46" s="2">
        <v>0</v>
      </c>
    </row>
    <row r="47" spans="1:9" x14ac:dyDescent="0.35">
      <c r="A47" s="1" t="s">
        <v>98</v>
      </c>
      <c r="B47" s="2" t="s">
        <v>91</v>
      </c>
      <c r="C47" s="7">
        <v>240</v>
      </c>
      <c r="D47" s="3">
        <f t="shared" si="2"/>
        <v>4</v>
      </c>
      <c r="E47" s="3" t="s">
        <v>168</v>
      </c>
      <c r="F47" s="3"/>
      <c r="G47" s="4">
        <v>0.3</v>
      </c>
      <c r="H47" s="4">
        <f t="shared" si="3"/>
        <v>0.52500000000000002</v>
      </c>
      <c r="I47" s="2">
        <v>0</v>
      </c>
    </row>
    <row r="48" spans="1:9" x14ac:dyDescent="0.35">
      <c r="A48" s="1" t="s">
        <v>100</v>
      </c>
      <c r="B48" s="2" t="s">
        <v>93</v>
      </c>
      <c r="C48" s="7">
        <v>280</v>
      </c>
      <c r="D48" s="3">
        <f t="shared" si="2"/>
        <v>4.666666666666667</v>
      </c>
      <c r="E48" s="3" t="s">
        <v>90</v>
      </c>
      <c r="F48" s="3"/>
      <c r="G48" s="4">
        <v>0.1</v>
      </c>
      <c r="H48" s="4">
        <f t="shared" si="3"/>
        <v>0.17500000000000002</v>
      </c>
      <c r="I48" s="2">
        <v>0</v>
      </c>
    </row>
    <row r="49" spans="1:9" x14ac:dyDescent="0.35">
      <c r="A49" s="1" t="s">
        <v>102</v>
      </c>
      <c r="B49" s="2" t="s">
        <v>95</v>
      </c>
      <c r="C49" s="7">
        <v>240</v>
      </c>
      <c r="D49" s="3">
        <f t="shared" si="2"/>
        <v>4</v>
      </c>
      <c r="E49" s="3" t="s">
        <v>52</v>
      </c>
      <c r="F49" s="3"/>
      <c r="G49" s="4">
        <v>0.25</v>
      </c>
      <c r="H49" s="4">
        <f t="shared" si="3"/>
        <v>0.4375</v>
      </c>
      <c r="I49" s="2">
        <v>0</v>
      </c>
    </row>
    <row r="50" spans="1:9" x14ac:dyDescent="0.35">
      <c r="A50" s="1" t="s">
        <v>104</v>
      </c>
      <c r="B50" s="2" t="s">
        <v>97</v>
      </c>
      <c r="C50" s="7">
        <v>180</v>
      </c>
      <c r="D50" s="3">
        <f t="shared" si="2"/>
        <v>3</v>
      </c>
      <c r="E50" s="3" t="s">
        <v>90</v>
      </c>
      <c r="F50" s="3"/>
      <c r="G50" s="4">
        <v>0.25</v>
      </c>
      <c r="H50" s="4">
        <f t="shared" si="3"/>
        <v>0.4375</v>
      </c>
      <c r="I50" s="2">
        <v>0</v>
      </c>
    </row>
    <row r="51" spans="1:9" x14ac:dyDescent="0.35">
      <c r="A51" s="1" t="s">
        <v>106</v>
      </c>
      <c r="B51" s="2" t="s">
        <v>99</v>
      </c>
      <c r="C51" s="7">
        <v>150</v>
      </c>
      <c r="D51" s="3">
        <f t="shared" si="2"/>
        <v>2.5</v>
      </c>
      <c r="E51" s="3" t="s">
        <v>66</v>
      </c>
      <c r="F51" s="3"/>
      <c r="G51" s="4">
        <v>0.25</v>
      </c>
      <c r="H51" s="4">
        <f t="shared" si="3"/>
        <v>0.4375</v>
      </c>
      <c r="I51" s="2">
        <v>0</v>
      </c>
    </row>
    <row r="52" spans="1:9" x14ac:dyDescent="0.35">
      <c r="A52" s="1" t="s">
        <v>108</v>
      </c>
      <c r="B52" s="2" t="s">
        <v>101</v>
      </c>
      <c r="C52" s="7">
        <v>180</v>
      </c>
      <c r="D52" s="3">
        <f t="shared" si="2"/>
        <v>3</v>
      </c>
      <c r="E52" s="3" t="s">
        <v>36</v>
      </c>
      <c r="F52" s="3"/>
      <c r="G52" s="4">
        <v>0.25</v>
      </c>
      <c r="H52" s="4">
        <f t="shared" si="3"/>
        <v>0.4375</v>
      </c>
      <c r="I52" s="2">
        <v>0</v>
      </c>
    </row>
    <row r="53" spans="1:9" x14ac:dyDescent="0.35">
      <c r="A53" s="1" t="s">
        <v>110</v>
      </c>
      <c r="B53" s="2" t="s">
        <v>103</v>
      </c>
      <c r="C53" s="7">
        <v>180</v>
      </c>
      <c r="D53" s="3">
        <f t="shared" si="2"/>
        <v>3</v>
      </c>
      <c r="E53" s="3" t="s">
        <v>36</v>
      </c>
      <c r="F53" s="3"/>
      <c r="G53" s="4">
        <v>0.25</v>
      </c>
      <c r="H53" s="4">
        <f t="shared" si="3"/>
        <v>0.4375</v>
      </c>
      <c r="I53" s="2">
        <v>1</v>
      </c>
    </row>
    <row r="54" spans="1:9" x14ac:dyDescent="0.35">
      <c r="A54" s="1" t="s">
        <v>112</v>
      </c>
      <c r="B54" s="2" t="s">
        <v>105</v>
      </c>
      <c r="C54" s="7">
        <v>240</v>
      </c>
      <c r="D54" s="3">
        <f t="shared" si="2"/>
        <v>4</v>
      </c>
      <c r="E54" s="3" t="s">
        <v>110</v>
      </c>
      <c r="F54" s="3"/>
      <c r="G54" s="4">
        <v>0.25</v>
      </c>
      <c r="H54" s="4">
        <f t="shared" si="3"/>
        <v>0.4375</v>
      </c>
      <c r="I54" s="2">
        <v>1</v>
      </c>
    </row>
    <row r="55" spans="1:9" x14ac:dyDescent="0.35">
      <c r="A55" s="1" t="s">
        <v>114</v>
      </c>
      <c r="B55" s="2" t="s">
        <v>107</v>
      </c>
      <c r="C55" s="7">
        <v>180</v>
      </c>
      <c r="D55" s="3">
        <f t="shared" si="2"/>
        <v>3</v>
      </c>
      <c r="E55" s="3" t="s">
        <v>112</v>
      </c>
      <c r="F55" s="3"/>
      <c r="G55" s="4">
        <v>0.25</v>
      </c>
      <c r="H55" s="4">
        <f t="shared" si="3"/>
        <v>0.4375</v>
      </c>
      <c r="I55" s="2">
        <v>1</v>
      </c>
    </row>
    <row r="56" spans="1:9" x14ac:dyDescent="0.35">
      <c r="A56" s="1" t="s">
        <v>116</v>
      </c>
      <c r="B56" s="2" t="s">
        <v>109</v>
      </c>
      <c r="C56" s="7">
        <v>50</v>
      </c>
      <c r="D56" s="3">
        <f t="shared" si="2"/>
        <v>0.83333333333333337</v>
      </c>
      <c r="E56" s="3" t="s">
        <v>169</v>
      </c>
      <c r="F56" s="3"/>
      <c r="G56" s="4">
        <v>0.25</v>
      </c>
      <c r="H56" s="4">
        <f t="shared" si="3"/>
        <v>0.4375</v>
      </c>
      <c r="I56" s="2">
        <v>1</v>
      </c>
    </row>
    <row r="57" spans="1:9" x14ac:dyDescent="0.35">
      <c r="A57" s="1" t="s">
        <v>118</v>
      </c>
      <c r="B57" s="2" t="s">
        <v>111</v>
      </c>
      <c r="C57" s="7">
        <v>180</v>
      </c>
      <c r="D57" s="3">
        <f t="shared" si="2"/>
        <v>3</v>
      </c>
      <c r="E57" s="3" t="s">
        <v>102</v>
      </c>
      <c r="F57" s="3"/>
      <c r="G57" s="4">
        <v>0.5</v>
      </c>
      <c r="H57" s="4">
        <f t="shared" si="3"/>
        <v>0.875</v>
      </c>
      <c r="I57" s="2">
        <v>1</v>
      </c>
    </row>
    <row r="58" spans="1:9" x14ac:dyDescent="0.35">
      <c r="A58" s="1" t="s">
        <v>120</v>
      </c>
      <c r="B58" s="2" t="s">
        <v>113</v>
      </c>
      <c r="C58" s="7">
        <v>180</v>
      </c>
      <c r="D58" s="3">
        <f t="shared" si="2"/>
        <v>3</v>
      </c>
      <c r="E58" s="3" t="s">
        <v>118</v>
      </c>
      <c r="F58" s="3"/>
      <c r="G58" s="4">
        <v>0.5</v>
      </c>
      <c r="H58" s="4">
        <f t="shared" si="3"/>
        <v>0.875</v>
      </c>
      <c r="I58" s="2">
        <v>0</v>
      </c>
    </row>
    <row r="59" spans="1:9" x14ac:dyDescent="0.35">
      <c r="A59" s="1" t="s">
        <v>122</v>
      </c>
      <c r="B59" s="2" t="s">
        <v>115</v>
      </c>
      <c r="C59" s="7">
        <v>180</v>
      </c>
      <c r="D59" s="3">
        <f t="shared" si="2"/>
        <v>3</v>
      </c>
      <c r="E59" s="3"/>
      <c r="F59" s="3"/>
      <c r="G59" s="4">
        <f>1/6</f>
        <v>0.16666666666666666</v>
      </c>
      <c r="H59" s="4">
        <f t="shared" si="3"/>
        <v>0.29166666666666663</v>
      </c>
      <c r="I59" s="2">
        <v>0</v>
      </c>
    </row>
    <row r="60" spans="1:9" x14ac:dyDescent="0.35">
      <c r="A60" s="1" t="s">
        <v>124</v>
      </c>
      <c r="B60" s="2" t="s">
        <v>117</v>
      </c>
      <c r="C60" s="7">
        <v>180</v>
      </c>
      <c r="D60" s="3">
        <f t="shared" si="2"/>
        <v>3</v>
      </c>
      <c r="E60" s="3" t="s">
        <v>90</v>
      </c>
      <c r="F60" s="3"/>
      <c r="G60" s="4">
        <f>1/6</f>
        <v>0.16666666666666666</v>
      </c>
      <c r="H60" s="4">
        <f t="shared" si="3"/>
        <v>0.29166666666666663</v>
      </c>
      <c r="I60" s="2">
        <v>0</v>
      </c>
    </row>
    <row r="61" spans="1:9" x14ac:dyDescent="0.35">
      <c r="A61" s="1" t="s">
        <v>126</v>
      </c>
      <c r="B61" s="2" t="s">
        <v>119</v>
      </c>
      <c r="C61" s="7">
        <v>180</v>
      </c>
      <c r="D61" s="3">
        <f t="shared" si="2"/>
        <v>3</v>
      </c>
      <c r="E61" s="3" t="s">
        <v>90</v>
      </c>
      <c r="F61" s="3"/>
      <c r="G61" s="4">
        <f>1/6</f>
        <v>0.16666666666666666</v>
      </c>
      <c r="H61" s="4">
        <f t="shared" si="3"/>
        <v>0.29166666666666663</v>
      </c>
      <c r="I61" s="2">
        <v>0</v>
      </c>
    </row>
    <row r="62" spans="1:9" x14ac:dyDescent="0.35">
      <c r="A62" s="1" t="s">
        <v>128</v>
      </c>
      <c r="B62" s="2" t="s">
        <v>121</v>
      </c>
      <c r="C62" s="7">
        <v>150</v>
      </c>
      <c r="D62" s="3">
        <f t="shared" si="2"/>
        <v>2.5</v>
      </c>
      <c r="E62" s="3" t="s">
        <v>122</v>
      </c>
      <c r="F62" s="3"/>
      <c r="G62" s="4">
        <f>1/6</f>
        <v>0.16666666666666666</v>
      </c>
      <c r="H62" s="4">
        <f t="shared" si="3"/>
        <v>0.29166666666666663</v>
      </c>
      <c r="I62" s="2">
        <v>1</v>
      </c>
    </row>
    <row r="63" spans="1:9" x14ac:dyDescent="0.35">
      <c r="A63" s="1" t="s">
        <v>130</v>
      </c>
      <c r="B63" s="2" t="s">
        <v>123</v>
      </c>
      <c r="C63" s="7">
        <v>120</v>
      </c>
      <c r="D63" s="3">
        <f t="shared" si="2"/>
        <v>2</v>
      </c>
      <c r="E63" s="3" t="s">
        <v>170</v>
      </c>
      <c r="F63" s="3"/>
      <c r="G63" s="4">
        <f>1/6</f>
        <v>0.16666666666666666</v>
      </c>
      <c r="H63" s="4">
        <f t="shared" si="3"/>
        <v>0.29166666666666663</v>
      </c>
      <c r="I63" s="2">
        <v>0</v>
      </c>
    </row>
    <row r="64" spans="1:9" x14ac:dyDescent="0.35">
      <c r="A64" s="1" t="s">
        <v>132</v>
      </c>
      <c r="B64" s="2" t="s">
        <v>125</v>
      </c>
      <c r="C64" s="7">
        <v>150</v>
      </c>
      <c r="D64" s="3">
        <f t="shared" si="2"/>
        <v>2.5</v>
      </c>
      <c r="E64" s="3" t="s">
        <v>170</v>
      </c>
      <c r="F64" s="3"/>
      <c r="G64" s="4">
        <v>0.5</v>
      </c>
      <c r="H64" s="4">
        <f t="shared" si="3"/>
        <v>0.875</v>
      </c>
      <c r="I64" s="2">
        <v>0</v>
      </c>
    </row>
    <row r="65" spans="1:9" x14ac:dyDescent="0.35">
      <c r="A65" s="1" t="s">
        <v>134</v>
      </c>
      <c r="B65" s="2" t="s">
        <v>127</v>
      </c>
      <c r="C65" s="7">
        <v>180</v>
      </c>
      <c r="D65" s="3">
        <f t="shared" si="2"/>
        <v>3</v>
      </c>
      <c r="E65" s="3" t="s">
        <v>132</v>
      </c>
      <c r="F65" s="3"/>
      <c r="G65" s="4">
        <v>0.5</v>
      </c>
      <c r="H65" s="4">
        <f t="shared" si="3"/>
        <v>0.875</v>
      </c>
      <c r="I65" s="2">
        <v>0</v>
      </c>
    </row>
    <row r="66" spans="1:9" x14ac:dyDescent="0.35">
      <c r="A66" s="1" t="s">
        <v>136</v>
      </c>
      <c r="B66" s="9" t="s">
        <v>129</v>
      </c>
      <c r="C66" s="14">
        <v>260</v>
      </c>
      <c r="D66" s="3">
        <f t="shared" si="2"/>
        <v>4.333333333333333</v>
      </c>
      <c r="E66" s="3"/>
      <c r="F66" s="3"/>
      <c r="G66" s="4">
        <f>1/6</f>
        <v>0.16666666666666666</v>
      </c>
      <c r="H66" s="4">
        <f t="shared" si="3"/>
        <v>0.29166666666666663</v>
      </c>
      <c r="I66" s="2">
        <v>0</v>
      </c>
    </row>
    <row r="67" spans="1:9" x14ac:dyDescent="0.35">
      <c r="A67" s="1" t="s">
        <v>138</v>
      </c>
      <c r="B67" s="9" t="s">
        <v>131</v>
      </c>
      <c r="C67" s="14">
        <v>295</v>
      </c>
      <c r="D67" s="3">
        <f t="shared" si="2"/>
        <v>4.916666666666667</v>
      </c>
      <c r="E67" s="3" t="s">
        <v>118</v>
      </c>
      <c r="F67" s="3"/>
      <c r="G67" s="4">
        <f t="shared" ref="G67:G73" si="5">1/3</f>
        <v>0.33333333333333331</v>
      </c>
      <c r="H67" s="4">
        <f t="shared" si="3"/>
        <v>0.58333333333333326</v>
      </c>
      <c r="I67" s="2">
        <v>0</v>
      </c>
    </row>
    <row r="68" spans="1:9" x14ac:dyDescent="0.35">
      <c r="A68" s="1" t="s">
        <v>140</v>
      </c>
      <c r="B68" s="9" t="s">
        <v>133</v>
      </c>
      <c r="C68" s="14">
        <v>160</v>
      </c>
      <c r="D68" s="3">
        <f t="shared" si="2"/>
        <v>2.6666666666666665</v>
      </c>
      <c r="E68" s="3" t="s">
        <v>118</v>
      </c>
      <c r="F68" s="3"/>
      <c r="G68" s="4">
        <f t="shared" si="5"/>
        <v>0.33333333333333331</v>
      </c>
      <c r="H68" s="4">
        <f t="shared" si="3"/>
        <v>0.58333333333333326</v>
      </c>
      <c r="I68" s="2">
        <v>0</v>
      </c>
    </row>
    <row r="69" spans="1:9" x14ac:dyDescent="0.35">
      <c r="A69" s="1" t="s">
        <v>142</v>
      </c>
      <c r="B69" s="9" t="s">
        <v>135</v>
      </c>
      <c r="C69" s="14">
        <v>120</v>
      </c>
      <c r="D69" s="3">
        <f t="shared" si="2"/>
        <v>2</v>
      </c>
      <c r="E69" s="3" t="s">
        <v>132</v>
      </c>
      <c r="F69" s="3"/>
      <c r="G69" s="4">
        <f t="shared" si="5"/>
        <v>0.33333333333333331</v>
      </c>
      <c r="H69" s="4">
        <f t="shared" si="3"/>
        <v>0.58333333333333326</v>
      </c>
      <c r="I69" s="2">
        <v>0</v>
      </c>
    </row>
    <row r="70" spans="1:9" x14ac:dyDescent="0.35">
      <c r="A70" s="1" t="s">
        <v>144</v>
      </c>
      <c r="B70" s="2" t="s">
        <v>137</v>
      </c>
      <c r="C70" s="7">
        <v>240</v>
      </c>
      <c r="D70" s="3">
        <f t="shared" si="2"/>
        <v>4</v>
      </c>
      <c r="E70" s="3"/>
      <c r="F70" s="3"/>
      <c r="G70" s="4">
        <f t="shared" si="5"/>
        <v>0.33333333333333331</v>
      </c>
      <c r="H70" s="4">
        <f t="shared" si="3"/>
        <v>0.58333333333333326</v>
      </c>
      <c r="I70" s="2">
        <v>0</v>
      </c>
    </row>
    <row r="71" spans="1:9" x14ac:dyDescent="0.35">
      <c r="A71" s="1" t="s">
        <v>146</v>
      </c>
      <c r="B71" s="9" t="s">
        <v>139</v>
      </c>
      <c r="C71" s="14">
        <v>228</v>
      </c>
      <c r="D71" s="3">
        <f t="shared" si="2"/>
        <v>3.8</v>
      </c>
      <c r="E71" s="3" t="s">
        <v>138</v>
      </c>
      <c r="F71" s="3"/>
      <c r="G71" s="4">
        <f t="shared" si="5"/>
        <v>0.33333333333333331</v>
      </c>
      <c r="H71" s="4">
        <f t="shared" si="3"/>
        <v>0.58333333333333326</v>
      </c>
      <c r="I71" s="2">
        <v>1</v>
      </c>
    </row>
    <row r="72" spans="1:9" x14ac:dyDescent="0.35">
      <c r="A72" s="1" t="s">
        <v>148</v>
      </c>
      <c r="B72" s="2" t="s">
        <v>141</v>
      </c>
      <c r="C72" s="7">
        <v>150</v>
      </c>
      <c r="D72" s="3">
        <f t="shared" si="2"/>
        <v>2.5</v>
      </c>
      <c r="E72" s="3" t="s">
        <v>142</v>
      </c>
      <c r="F72" s="3"/>
      <c r="G72" s="4">
        <f t="shared" si="5"/>
        <v>0.33333333333333331</v>
      </c>
      <c r="H72" s="4">
        <f t="shared" si="3"/>
        <v>0.58333333333333326</v>
      </c>
      <c r="I72" s="2">
        <v>1</v>
      </c>
    </row>
    <row r="73" spans="1:9" x14ac:dyDescent="0.35">
      <c r="A73" s="1" t="s">
        <v>150</v>
      </c>
      <c r="B73" s="2" t="s">
        <v>143</v>
      </c>
      <c r="C73" s="7">
        <v>180</v>
      </c>
      <c r="D73" s="3">
        <f t="shared" si="2"/>
        <v>3</v>
      </c>
      <c r="E73" s="3" t="s">
        <v>148</v>
      </c>
      <c r="F73" s="3"/>
      <c r="G73" s="4">
        <f t="shared" si="5"/>
        <v>0.33333333333333331</v>
      </c>
      <c r="H73" s="4">
        <f t="shared" si="3"/>
        <v>0.58333333333333326</v>
      </c>
      <c r="I73" s="2">
        <v>0</v>
      </c>
    </row>
    <row r="74" spans="1:9" x14ac:dyDescent="0.35">
      <c r="A74" s="1" t="s">
        <v>152</v>
      </c>
      <c r="B74" s="2" t="s">
        <v>145</v>
      </c>
      <c r="C74" s="7">
        <v>240</v>
      </c>
      <c r="D74" s="3">
        <f t="shared" ref="D74:D79" si="6">C74/60</f>
        <v>4</v>
      </c>
      <c r="E74" s="8" t="s">
        <v>173</v>
      </c>
      <c r="F74" s="3"/>
      <c r="G74" s="4">
        <v>0.5</v>
      </c>
      <c r="H74" s="4">
        <f t="shared" ref="H74:H78" si="7">G74*1.75</f>
        <v>0.875</v>
      </c>
      <c r="I74" s="2">
        <v>0</v>
      </c>
    </row>
    <row r="75" spans="1:9" x14ac:dyDescent="0.35">
      <c r="A75" s="1" t="s">
        <v>154</v>
      </c>
      <c r="B75" s="2" t="s">
        <v>147</v>
      </c>
      <c r="C75" s="7">
        <v>180</v>
      </c>
      <c r="D75" s="3">
        <f t="shared" si="6"/>
        <v>3</v>
      </c>
      <c r="E75" s="3"/>
      <c r="F75" s="3"/>
      <c r="G75" s="4">
        <v>0.5</v>
      </c>
      <c r="H75" s="4">
        <f t="shared" si="7"/>
        <v>0.875</v>
      </c>
      <c r="I75" s="2">
        <v>1</v>
      </c>
    </row>
    <row r="76" spans="1:9" x14ac:dyDescent="0.35">
      <c r="A76" s="1" t="s">
        <v>159</v>
      </c>
      <c r="B76" s="2" t="s">
        <v>149</v>
      </c>
      <c r="C76" s="7">
        <v>180</v>
      </c>
      <c r="D76" s="3">
        <f t="shared" si="6"/>
        <v>3</v>
      </c>
      <c r="E76" s="3" t="s">
        <v>146</v>
      </c>
      <c r="F76" s="3"/>
      <c r="G76" s="4">
        <v>0.5</v>
      </c>
      <c r="H76" s="4">
        <f t="shared" si="7"/>
        <v>0.875</v>
      </c>
      <c r="I76" s="2">
        <v>0</v>
      </c>
    </row>
    <row r="77" spans="1:9" x14ac:dyDescent="0.35">
      <c r="A77" s="1" t="s">
        <v>160</v>
      </c>
      <c r="B77" s="2" t="s">
        <v>151</v>
      </c>
      <c r="C77" s="7">
        <v>240</v>
      </c>
      <c r="D77" s="3">
        <f t="shared" si="6"/>
        <v>4</v>
      </c>
      <c r="E77" s="3" t="s">
        <v>171</v>
      </c>
      <c r="F77" s="3"/>
      <c r="G77" s="4">
        <v>1</v>
      </c>
      <c r="H77" s="4">
        <f t="shared" si="7"/>
        <v>1.75</v>
      </c>
      <c r="I77" s="2">
        <v>0</v>
      </c>
    </row>
    <row r="78" spans="1:9" x14ac:dyDescent="0.35">
      <c r="A78" s="1" t="s">
        <v>161</v>
      </c>
      <c r="B78" s="2" t="s">
        <v>153</v>
      </c>
      <c r="C78" s="7">
        <v>510</v>
      </c>
      <c r="D78" s="3">
        <f t="shared" si="6"/>
        <v>8.5</v>
      </c>
      <c r="E78" s="3" t="s">
        <v>172</v>
      </c>
      <c r="F78" s="3"/>
      <c r="G78" s="4">
        <v>0.5</v>
      </c>
      <c r="H78" s="4">
        <f t="shared" si="7"/>
        <v>0.875</v>
      </c>
      <c r="I78" s="2">
        <v>0</v>
      </c>
    </row>
    <row r="79" spans="1:9" x14ac:dyDescent="0.35">
      <c r="A79" s="1" t="s">
        <v>162</v>
      </c>
      <c r="B79" s="2" t="s">
        <v>143</v>
      </c>
      <c r="C79" s="7">
        <v>300</v>
      </c>
      <c r="D79" s="3">
        <f t="shared" si="6"/>
        <v>5</v>
      </c>
      <c r="E79" s="3"/>
      <c r="F79" s="3"/>
      <c r="G79" s="4">
        <v>0.5</v>
      </c>
      <c r="H79" s="4">
        <f>G79*1.75</f>
        <v>0.875</v>
      </c>
      <c r="I79" s="2">
        <v>0</v>
      </c>
    </row>
    <row r="80" spans="1:9" x14ac:dyDescent="0.35">
      <c r="G80" s="4">
        <f>SUM(G9:G79)</f>
        <v>20.999999999999996</v>
      </c>
      <c r="H80" s="4">
        <f>SUM(H9:H79)</f>
        <v>36.749999999999993</v>
      </c>
      <c r="I80" s="2"/>
    </row>
  </sheetData>
  <phoneticPr fontId="2" type="noConversion"/>
  <pageMargins left="0.7" right="0.7" top="0.75" bottom="0.75" header="0.3" footer="0.3"/>
  <pageSetup paperSize="8" scale="70" orientation="portrait" verticalDpi="59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F104-8DEA-42D5-9971-2CC24A0B73ED}">
  <dimension ref="A2:L81"/>
  <sheetViews>
    <sheetView tabSelected="1" workbookViewId="0">
      <selection activeCell="D13" sqref="D13"/>
    </sheetView>
  </sheetViews>
  <sheetFormatPr defaultRowHeight="14.5" x14ac:dyDescent="0.35"/>
  <cols>
    <col min="1" max="1" width="8.90625" style="1" bestFit="1" customWidth="1"/>
    <col min="2" max="2" width="22.1796875" style="1" bestFit="1" customWidth="1"/>
    <col min="3" max="3" width="16.36328125" style="1" bestFit="1" customWidth="1"/>
    <col min="4" max="4" width="16.36328125" style="6" bestFit="1" customWidth="1"/>
    <col min="5" max="5" width="33.453125" style="6" customWidth="1"/>
    <col min="6" max="6" width="12.6328125" style="6" customWidth="1"/>
    <col min="7" max="8" width="14.7265625" style="6" bestFit="1" customWidth="1"/>
    <col min="9" max="9" width="14.7265625" style="1" bestFit="1" customWidth="1"/>
    <col min="10" max="11" width="8.7265625" style="1"/>
    <col min="12" max="12" width="15.90625" style="1" bestFit="1" customWidth="1"/>
    <col min="13" max="16384" width="8.7265625" style="1"/>
  </cols>
  <sheetData>
    <row r="2" spans="1:12" x14ac:dyDescent="0.35">
      <c r="B2" s="2" t="s">
        <v>0</v>
      </c>
      <c r="C2" s="2" t="s">
        <v>228</v>
      </c>
    </row>
    <row r="3" spans="1:12" x14ac:dyDescent="0.35">
      <c r="D3" s="1"/>
      <c r="E3" s="1"/>
      <c r="F3" s="1"/>
    </row>
    <row r="4" spans="1:12" ht="15" customHeight="1" x14ac:dyDescent="0.35">
      <c r="A4" s="1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8</v>
      </c>
      <c r="I4" s="5" t="s">
        <v>9</v>
      </c>
    </row>
    <row r="5" spans="1:12" ht="15" customHeight="1" x14ac:dyDescent="0.35">
      <c r="A5" s="1" t="s">
        <v>10</v>
      </c>
      <c r="B5" s="2"/>
      <c r="C5" s="3">
        <f>SUM(C6:C80)</f>
        <v>12140</v>
      </c>
      <c r="D5" s="3">
        <f>SUM(D6:D80)</f>
        <v>202.33333333333331</v>
      </c>
      <c r="E5" s="3"/>
      <c r="F5" s="3"/>
      <c r="G5" s="3">
        <f>SUM(G10:G80)</f>
        <v>20.999999999999996</v>
      </c>
      <c r="H5" s="4">
        <f>SUM(H10:H80)</f>
        <v>36.749999999999993</v>
      </c>
      <c r="I5" s="2"/>
    </row>
    <row r="6" spans="1:12" ht="15" customHeight="1" x14ac:dyDescent="0.35">
      <c r="A6" s="1" t="s">
        <v>11</v>
      </c>
      <c r="B6" s="9" t="s">
        <v>155</v>
      </c>
      <c r="C6" s="7">
        <v>150</v>
      </c>
      <c r="D6" s="3">
        <f t="shared" ref="D6:D9" si="0">C6/60</f>
        <v>2.5</v>
      </c>
      <c r="E6" s="3"/>
      <c r="F6" s="3"/>
      <c r="G6" s="3"/>
      <c r="H6" s="4"/>
      <c r="I6" s="2"/>
    </row>
    <row r="7" spans="1:12" ht="15" customHeight="1" x14ac:dyDescent="0.35">
      <c r="A7" s="1" t="s">
        <v>13</v>
      </c>
      <c r="B7" s="9" t="s">
        <v>156</v>
      </c>
      <c r="C7" s="7">
        <v>180</v>
      </c>
      <c r="D7" s="3">
        <f t="shared" si="0"/>
        <v>3</v>
      </c>
      <c r="E7" s="3"/>
      <c r="F7" s="3"/>
      <c r="G7" s="3"/>
      <c r="H7" s="4"/>
      <c r="I7" s="2"/>
    </row>
    <row r="8" spans="1:12" ht="15" customHeight="1" x14ac:dyDescent="0.35">
      <c r="A8" s="1" t="s">
        <v>16</v>
      </c>
      <c r="B8" s="9" t="s">
        <v>157</v>
      </c>
      <c r="C8" s="7">
        <v>180</v>
      </c>
      <c r="D8" s="3">
        <f t="shared" si="0"/>
        <v>3</v>
      </c>
      <c r="E8" s="3"/>
      <c r="F8" s="3"/>
      <c r="G8" s="3"/>
      <c r="H8" s="4"/>
      <c r="I8" s="2"/>
    </row>
    <row r="9" spans="1:12" ht="15" customHeight="1" x14ac:dyDescent="0.35">
      <c r="A9" s="1" t="s">
        <v>19</v>
      </c>
      <c r="B9" s="9" t="s">
        <v>158</v>
      </c>
      <c r="C9" s="7">
        <v>180</v>
      </c>
      <c r="D9" s="3">
        <f t="shared" si="0"/>
        <v>3</v>
      </c>
      <c r="E9" s="3"/>
      <c r="F9" s="3"/>
      <c r="G9" s="3"/>
      <c r="H9" s="4"/>
      <c r="I9" s="2"/>
    </row>
    <row r="10" spans="1:12" ht="14.5" customHeight="1" x14ac:dyDescent="0.35">
      <c r="A10" s="1" t="s">
        <v>22</v>
      </c>
      <c r="B10" s="10" t="s">
        <v>12</v>
      </c>
      <c r="C10" s="7">
        <v>100</v>
      </c>
      <c r="D10" s="3">
        <f>C10/60</f>
        <v>1.6666666666666667</v>
      </c>
      <c r="E10" s="3"/>
      <c r="F10" s="3"/>
      <c r="G10" s="4">
        <f>1/6</f>
        <v>0.16666666666666666</v>
      </c>
      <c r="H10" s="4">
        <f>G10*1.75</f>
        <v>0.29166666666666663</v>
      </c>
      <c r="I10" s="2">
        <v>0</v>
      </c>
    </row>
    <row r="11" spans="1:12" x14ac:dyDescent="0.35">
      <c r="A11" s="1" t="s">
        <v>24</v>
      </c>
      <c r="B11" s="10" t="s">
        <v>14</v>
      </c>
      <c r="C11" s="7">
        <v>120</v>
      </c>
      <c r="D11" s="3">
        <f t="shared" ref="D11:D74" si="1">C11/60</f>
        <v>2</v>
      </c>
      <c r="E11" s="3"/>
      <c r="F11" s="3"/>
      <c r="G11" s="4">
        <f>1/6</f>
        <v>0.16666666666666666</v>
      </c>
      <c r="H11" s="4">
        <f t="shared" ref="H11:H74" si="2">G11*1.75</f>
        <v>0.29166666666666663</v>
      </c>
      <c r="I11" s="2">
        <v>0</v>
      </c>
      <c r="L11" s="1" t="s">
        <v>15</v>
      </c>
    </row>
    <row r="12" spans="1:12" x14ac:dyDescent="0.35">
      <c r="A12" s="1" t="s">
        <v>26</v>
      </c>
      <c r="B12" s="10" t="s">
        <v>17</v>
      </c>
      <c r="C12" s="7">
        <v>60</v>
      </c>
      <c r="D12" s="3">
        <f>C12/60</f>
        <v>1</v>
      </c>
      <c r="E12" s="3"/>
      <c r="F12" s="3"/>
      <c r="G12" s="4">
        <f>1/6</f>
        <v>0.16666666666666666</v>
      </c>
      <c r="H12" s="4">
        <f>G12*1.75</f>
        <v>0.29166666666666663</v>
      </c>
      <c r="I12" s="2">
        <v>0</v>
      </c>
      <c r="L12" s="1" t="s">
        <v>21</v>
      </c>
    </row>
    <row r="13" spans="1:12" x14ac:dyDescent="0.35">
      <c r="A13" s="1" t="s">
        <v>28</v>
      </c>
      <c r="B13" s="10" t="s">
        <v>174</v>
      </c>
      <c r="C13" s="7">
        <v>30</v>
      </c>
      <c r="D13" s="3">
        <f t="shared" si="1"/>
        <v>0.5</v>
      </c>
      <c r="E13" s="3"/>
      <c r="F13" s="3"/>
      <c r="G13" s="4">
        <f>1/6</f>
        <v>0.16666666666666666</v>
      </c>
      <c r="H13" s="4">
        <f t="shared" si="2"/>
        <v>0.29166666666666663</v>
      </c>
      <c r="I13" s="2">
        <v>0</v>
      </c>
      <c r="L13" s="1" t="s">
        <v>18</v>
      </c>
    </row>
    <row r="14" spans="1:12" x14ac:dyDescent="0.35">
      <c r="A14" s="1" t="s">
        <v>30</v>
      </c>
      <c r="B14" s="10" t="s">
        <v>20</v>
      </c>
      <c r="C14" s="7">
        <v>60</v>
      </c>
      <c r="D14" s="3">
        <f t="shared" si="1"/>
        <v>1</v>
      </c>
      <c r="E14" s="3"/>
      <c r="F14" s="3"/>
      <c r="G14" s="4">
        <f>1/6</f>
        <v>0.16666666666666666</v>
      </c>
      <c r="H14" s="4">
        <f t="shared" si="2"/>
        <v>0.29166666666666663</v>
      </c>
      <c r="I14" s="2">
        <v>0</v>
      </c>
    </row>
    <row r="15" spans="1:12" x14ac:dyDescent="0.35">
      <c r="A15" s="1" t="s">
        <v>32</v>
      </c>
      <c r="B15" s="10" t="s">
        <v>175</v>
      </c>
      <c r="C15" s="7">
        <v>30</v>
      </c>
      <c r="D15" s="3">
        <f t="shared" si="1"/>
        <v>0.5</v>
      </c>
      <c r="E15" s="8" t="s">
        <v>26</v>
      </c>
      <c r="F15" s="3"/>
      <c r="G15" s="4">
        <f>1/8</f>
        <v>0.125</v>
      </c>
      <c r="H15" s="4">
        <f t="shared" si="2"/>
        <v>0.21875</v>
      </c>
      <c r="I15" s="2">
        <v>0</v>
      </c>
    </row>
    <row r="16" spans="1:12" x14ac:dyDescent="0.35">
      <c r="A16" s="1" t="s">
        <v>34</v>
      </c>
      <c r="B16" s="10" t="s">
        <v>176</v>
      </c>
      <c r="C16" s="7">
        <v>150</v>
      </c>
      <c r="D16" s="3">
        <f t="shared" si="1"/>
        <v>2.5</v>
      </c>
      <c r="E16" s="3"/>
      <c r="F16" s="3"/>
      <c r="G16" s="4">
        <f>1/8</f>
        <v>0.125</v>
      </c>
      <c r="H16" s="4">
        <f t="shared" si="2"/>
        <v>0.21875</v>
      </c>
      <c r="I16" s="2">
        <v>1</v>
      </c>
    </row>
    <row r="17" spans="1:9" x14ac:dyDescent="0.35">
      <c r="A17" s="1" t="s">
        <v>36</v>
      </c>
      <c r="B17" s="10" t="s">
        <v>177</v>
      </c>
      <c r="C17" s="7">
        <v>180</v>
      </c>
      <c r="D17" s="3">
        <f t="shared" si="1"/>
        <v>3</v>
      </c>
      <c r="E17" s="3" t="s">
        <v>163</v>
      </c>
      <c r="F17" s="3"/>
      <c r="G17" s="4">
        <f>1/8</f>
        <v>0.125</v>
      </c>
      <c r="H17" s="4">
        <f t="shared" si="2"/>
        <v>0.21875</v>
      </c>
      <c r="I17" s="2">
        <v>1</v>
      </c>
    </row>
    <row r="18" spans="1:9" x14ac:dyDescent="0.35">
      <c r="A18" s="1" t="s">
        <v>38</v>
      </c>
      <c r="B18" s="10" t="s">
        <v>178</v>
      </c>
      <c r="C18" s="7">
        <v>180</v>
      </c>
      <c r="D18" s="3">
        <f t="shared" si="1"/>
        <v>3</v>
      </c>
      <c r="E18" s="3"/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x14ac:dyDescent="0.35">
      <c r="A19" s="1" t="s">
        <v>40</v>
      </c>
      <c r="B19" s="10" t="s">
        <v>25</v>
      </c>
      <c r="C19" s="7">
        <v>180</v>
      </c>
      <c r="D19" s="3">
        <f t="shared" si="1"/>
        <v>3</v>
      </c>
      <c r="E19" s="3" t="s">
        <v>164</v>
      </c>
      <c r="F19" s="3"/>
      <c r="G19" s="4">
        <f>1/2</f>
        <v>0.5</v>
      </c>
      <c r="H19" s="4">
        <f t="shared" si="2"/>
        <v>0.875</v>
      </c>
      <c r="I19" s="2">
        <v>1</v>
      </c>
    </row>
    <row r="20" spans="1:9" x14ac:dyDescent="0.35">
      <c r="A20" s="1" t="s">
        <v>42</v>
      </c>
      <c r="B20" s="10" t="s">
        <v>27</v>
      </c>
      <c r="C20" s="7">
        <v>60</v>
      </c>
      <c r="D20" s="3">
        <f t="shared" si="1"/>
        <v>1</v>
      </c>
      <c r="E20" s="3" t="s">
        <v>165</v>
      </c>
      <c r="F20" s="3"/>
      <c r="G20" s="4">
        <f>1/4</f>
        <v>0.25</v>
      </c>
      <c r="H20" s="4">
        <f t="shared" si="2"/>
        <v>0.4375</v>
      </c>
      <c r="I20" s="2">
        <v>0</v>
      </c>
    </row>
    <row r="21" spans="1:9" x14ac:dyDescent="0.35">
      <c r="A21" s="1" t="s">
        <v>44</v>
      </c>
      <c r="B21" s="10" t="s">
        <v>29</v>
      </c>
      <c r="C21" s="7">
        <v>50</v>
      </c>
      <c r="D21" s="3">
        <f t="shared" si="1"/>
        <v>0.83333333333333337</v>
      </c>
      <c r="E21" s="3" t="s">
        <v>30</v>
      </c>
      <c r="F21" s="3"/>
      <c r="G21" s="4">
        <f>1/8</f>
        <v>0.125</v>
      </c>
      <c r="H21" s="4">
        <f t="shared" si="2"/>
        <v>0.21875</v>
      </c>
      <c r="I21" s="2">
        <v>0</v>
      </c>
    </row>
    <row r="22" spans="1:9" x14ac:dyDescent="0.35">
      <c r="A22" s="1" t="s">
        <v>46</v>
      </c>
      <c r="B22" s="10" t="s">
        <v>31</v>
      </c>
      <c r="C22" s="7">
        <v>30</v>
      </c>
      <c r="D22" s="3">
        <f t="shared" si="1"/>
        <v>0.5</v>
      </c>
      <c r="E22" s="3" t="s">
        <v>36</v>
      </c>
      <c r="F22" s="3"/>
      <c r="G22" s="4">
        <f>1/8</f>
        <v>0.125</v>
      </c>
      <c r="H22" s="4">
        <f t="shared" si="2"/>
        <v>0.21875</v>
      </c>
      <c r="I22" s="2">
        <v>0</v>
      </c>
    </row>
    <row r="23" spans="1:9" ht="14.5" customHeight="1" x14ac:dyDescent="0.35">
      <c r="A23" s="1" t="s">
        <v>48</v>
      </c>
      <c r="B23" s="10" t="s">
        <v>33</v>
      </c>
      <c r="C23" s="7">
        <v>50</v>
      </c>
      <c r="D23" s="3">
        <f t="shared" si="1"/>
        <v>0.83333333333333337</v>
      </c>
      <c r="E23" s="3" t="s">
        <v>165</v>
      </c>
      <c r="F23" s="3"/>
      <c r="G23" s="4">
        <v>0.2</v>
      </c>
      <c r="H23" s="4">
        <f t="shared" si="2"/>
        <v>0.35000000000000003</v>
      </c>
      <c r="I23" s="2">
        <v>0</v>
      </c>
    </row>
    <row r="24" spans="1:9" x14ac:dyDescent="0.35">
      <c r="A24" s="1" t="s">
        <v>50</v>
      </c>
      <c r="B24" s="10" t="s">
        <v>35</v>
      </c>
      <c r="C24" s="7">
        <v>90</v>
      </c>
      <c r="D24" s="3">
        <f t="shared" si="1"/>
        <v>1.5</v>
      </c>
      <c r="E24" s="3" t="s">
        <v>40</v>
      </c>
      <c r="F24" s="3"/>
      <c r="G24" s="4">
        <v>0.5</v>
      </c>
      <c r="H24" s="4">
        <f t="shared" si="2"/>
        <v>0.875</v>
      </c>
      <c r="I24" s="2">
        <v>1</v>
      </c>
    </row>
    <row r="25" spans="1:9" x14ac:dyDescent="0.35">
      <c r="A25" s="1" t="s">
        <v>52</v>
      </c>
      <c r="B25" s="10" t="s">
        <v>179</v>
      </c>
      <c r="C25" s="7">
        <v>120</v>
      </c>
      <c r="D25" s="3">
        <f t="shared" si="1"/>
        <v>2</v>
      </c>
      <c r="E25" s="3" t="s">
        <v>36</v>
      </c>
      <c r="F25" s="3"/>
      <c r="G25" s="4">
        <v>0.3</v>
      </c>
      <c r="H25" s="4">
        <f t="shared" si="2"/>
        <v>0.52500000000000002</v>
      </c>
      <c r="I25" s="2">
        <v>1</v>
      </c>
    </row>
    <row r="26" spans="1:9" ht="14.5" customHeight="1" x14ac:dyDescent="0.35">
      <c r="A26" s="1" t="s">
        <v>54</v>
      </c>
      <c r="B26" s="10" t="s">
        <v>39</v>
      </c>
      <c r="C26" s="7">
        <v>150</v>
      </c>
      <c r="D26" s="3">
        <f t="shared" si="1"/>
        <v>2.5</v>
      </c>
      <c r="E26" s="3" t="s">
        <v>36</v>
      </c>
      <c r="F26" s="3"/>
      <c r="G26" s="4">
        <f>1/3</f>
        <v>0.33333333333333331</v>
      </c>
      <c r="H26" s="4">
        <f t="shared" si="2"/>
        <v>0.58333333333333326</v>
      </c>
      <c r="I26" s="2">
        <v>1</v>
      </c>
    </row>
    <row r="27" spans="1:9" x14ac:dyDescent="0.35">
      <c r="A27" s="1" t="s">
        <v>56</v>
      </c>
      <c r="B27" s="10" t="s">
        <v>41</v>
      </c>
      <c r="C27" s="7">
        <v>120</v>
      </c>
      <c r="D27" s="3">
        <f t="shared" si="1"/>
        <v>2</v>
      </c>
      <c r="E27" s="3" t="s">
        <v>34</v>
      </c>
      <c r="F27" s="3"/>
      <c r="G27" s="4">
        <f>1/3</f>
        <v>0.33333333333333331</v>
      </c>
      <c r="H27" s="4">
        <f t="shared" si="2"/>
        <v>0.58333333333333326</v>
      </c>
      <c r="I27" s="2">
        <v>0</v>
      </c>
    </row>
    <row r="28" spans="1:9" x14ac:dyDescent="0.35">
      <c r="A28" s="1" t="s">
        <v>58</v>
      </c>
      <c r="B28" s="10" t="s">
        <v>43</v>
      </c>
      <c r="C28" s="7">
        <v>120</v>
      </c>
      <c r="D28" s="3">
        <f t="shared" si="1"/>
        <v>2</v>
      </c>
      <c r="E28" s="3" t="s">
        <v>50</v>
      </c>
      <c r="F28" s="3"/>
      <c r="G28" s="4">
        <f>1/3</f>
        <v>0.33333333333333331</v>
      </c>
      <c r="H28" s="4">
        <f t="shared" si="2"/>
        <v>0.58333333333333326</v>
      </c>
      <c r="I28" s="2">
        <v>0</v>
      </c>
    </row>
    <row r="29" spans="1:9" x14ac:dyDescent="0.35">
      <c r="A29" s="1" t="s">
        <v>60</v>
      </c>
      <c r="B29" s="10" t="s">
        <v>45</v>
      </c>
      <c r="C29" s="7">
        <v>240</v>
      </c>
      <c r="D29" s="3">
        <f t="shared" si="1"/>
        <v>4</v>
      </c>
      <c r="E29" s="3"/>
      <c r="F29" s="3"/>
      <c r="G29" s="4">
        <v>0.5</v>
      </c>
      <c r="H29" s="4">
        <f t="shared" si="2"/>
        <v>0.875</v>
      </c>
      <c r="I29" s="2">
        <v>1</v>
      </c>
    </row>
    <row r="30" spans="1:9" x14ac:dyDescent="0.35">
      <c r="A30" s="1" t="s">
        <v>62</v>
      </c>
      <c r="B30" s="10" t="s">
        <v>47</v>
      </c>
      <c r="C30" s="7">
        <v>180</v>
      </c>
      <c r="D30" s="3">
        <f t="shared" si="1"/>
        <v>3</v>
      </c>
      <c r="E30" s="3" t="s">
        <v>36</v>
      </c>
      <c r="F30" s="3"/>
      <c r="G30" s="4">
        <v>0.5</v>
      </c>
      <c r="H30" s="4">
        <f t="shared" si="2"/>
        <v>0.875</v>
      </c>
      <c r="I30" s="2">
        <v>0</v>
      </c>
    </row>
    <row r="31" spans="1:9" ht="15" customHeight="1" x14ac:dyDescent="0.35">
      <c r="A31" s="1" t="s">
        <v>64</v>
      </c>
      <c r="B31" s="10" t="s">
        <v>73</v>
      </c>
      <c r="C31" s="7">
        <v>150</v>
      </c>
      <c r="D31" s="3">
        <f t="shared" si="1"/>
        <v>2.5</v>
      </c>
      <c r="E31" s="3" t="s">
        <v>36</v>
      </c>
      <c r="F31" s="3"/>
      <c r="G31" s="4">
        <v>0.25</v>
      </c>
      <c r="H31" s="4">
        <f t="shared" si="2"/>
        <v>0.4375</v>
      </c>
      <c r="I31" s="2">
        <v>0</v>
      </c>
    </row>
    <row r="32" spans="1:9" x14ac:dyDescent="0.35">
      <c r="A32" s="1" t="s">
        <v>66</v>
      </c>
      <c r="B32" s="10" t="s">
        <v>180</v>
      </c>
      <c r="C32" s="7">
        <v>150</v>
      </c>
      <c r="D32" s="3">
        <f t="shared" si="1"/>
        <v>2.5</v>
      </c>
      <c r="E32" s="3" t="s">
        <v>40</v>
      </c>
      <c r="F32" s="3"/>
      <c r="G32" s="4">
        <v>0.25</v>
      </c>
      <c r="H32" s="4">
        <f t="shared" si="2"/>
        <v>0.4375</v>
      </c>
      <c r="I32" s="2">
        <v>0</v>
      </c>
    </row>
    <row r="33" spans="1:9" x14ac:dyDescent="0.35">
      <c r="A33" s="1" t="s">
        <v>68</v>
      </c>
      <c r="B33" s="10" t="s">
        <v>51</v>
      </c>
      <c r="C33" s="7">
        <v>180</v>
      </c>
      <c r="D33" s="3">
        <f t="shared" si="1"/>
        <v>3</v>
      </c>
      <c r="E33" s="3" t="s">
        <v>40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5">
      <c r="A34" s="1" t="s">
        <v>70</v>
      </c>
      <c r="B34" s="10" t="s">
        <v>181</v>
      </c>
      <c r="C34" s="7">
        <v>180</v>
      </c>
      <c r="D34" s="3">
        <f t="shared" si="1"/>
        <v>3</v>
      </c>
      <c r="E34" s="3" t="s">
        <v>40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5">
      <c r="A35" s="1" t="s">
        <v>72</v>
      </c>
      <c r="B35" s="10" t="s">
        <v>53</v>
      </c>
      <c r="C35" s="7">
        <v>80</v>
      </c>
      <c r="D35" s="3">
        <f t="shared" si="1"/>
        <v>1.3333333333333333</v>
      </c>
      <c r="E35" s="3" t="s">
        <v>40</v>
      </c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x14ac:dyDescent="0.35">
      <c r="A36" s="1" t="s">
        <v>74</v>
      </c>
      <c r="B36" s="10" t="s">
        <v>182</v>
      </c>
      <c r="C36" s="7">
        <v>80</v>
      </c>
      <c r="D36" s="3">
        <f t="shared" si="1"/>
        <v>1.3333333333333333</v>
      </c>
      <c r="E36" s="3" t="s">
        <v>64</v>
      </c>
      <c r="F36" s="3"/>
      <c r="G36" s="4">
        <f>1/3</f>
        <v>0.33333333333333331</v>
      </c>
      <c r="H36" s="4">
        <f t="shared" si="2"/>
        <v>0.58333333333333326</v>
      </c>
      <c r="I36" s="2">
        <v>0</v>
      </c>
    </row>
    <row r="37" spans="1:9" x14ac:dyDescent="0.35">
      <c r="A37" s="1" t="s">
        <v>76</v>
      </c>
      <c r="B37" s="10" t="s">
        <v>57</v>
      </c>
      <c r="C37" s="7">
        <v>80</v>
      </c>
      <c r="D37" s="3">
        <f t="shared" si="1"/>
        <v>1.3333333333333333</v>
      </c>
      <c r="E37" s="3" t="s">
        <v>74</v>
      </c>
      <c r="F37" s="3"/>
      <c r="G37" s="4">
        <f>1/6</f>
        <v>0.16666666666666666</v>
      </c>
      <c r="H37" s="4">
        <f t="shared" si="2"/>
        <v>0.29166666666666663</v>
      </c>
      <c r="I37" s="2">
        <v>0</v>
      </c>
    </row>
    <row r="38" spans="1:9" x14ac:dyDescent="0.35">
      <c r="A38" s="1" t="s">
        <v>78</v>
      </c>
      <c r="B38" s="10" t="s">
        <v>59</v>
      </c>
      <c r="C38" s="7">
        <v>120</v>
      </c>
      <c r="D38" s="3">
        <f t="shared" si="1"/>
        <v>2</v>
      </c>
      <c r="E38" s="3" t="s">
        <v>68</v>
      </c>
      <c r="F38" s="3"/>
      <c r="G38" s="4">
        <f>1/6</f>
        <v>0.16666666666666666</v>
      </c>
      <c r="H38" s="4">
        <f t="shared" si="2"/>
        <v>0.29166666666666663</v>
      </c>
      <c r="I38" s="2">
        <v>0</v>
      </c>
    </row>
    <row r="39" spans="1:9" x14ac:dyDescent="0.35">
      <c r="A39" s="1" t="s">
        <v>80</v>
      </c>
      <c r="B39" s="10" t="s">
        <v>61</v>
      </c>
      <c r="C39" s="7">
        <v>120</v>
      </c>
      <c r="D39" s="3">
        <f t="shared" si="1"/>
        <v>2</v>
      </c>
      <c r="E39" s="3"/>
      <c r="F39" s="3"/>
      <c r="G39" s="4">
        <f>1/6</f>
        <v>0.16666666666666666</v>
      </c>
      <c r="H39" s="4">
        <f t="shared" si="2"/>
        <v>0.29166666666666663</v>
      </c>
      <c r="I39" s="2">
        <v>0</v>
      </c>
    </row>
    <row r="40" spans="1:9" ht="14.5" customHeight="1" x14ac:dyDescent="0.35">
      <c r="A40" s="1" t="s">
        <v>82</v>
      </c>
      <c r="B40" s="10" t="s">
        <v>63</v>
      </c>
      <c r="C40" s="7">
        <v>240</v>
      </c>
      <c r="D40" s="3">
        <f t="shared" si="1"/>
        <v>4</v>
      </c>
      <c r="E40" s="3" t="s">
        <v>60</v>
      </c>
      <c r="F40" s="3"/>
      <c r="G40" s="4">
        <f t="shared" ref="G40:G45" si="3">1/3</f>
        <v>0.33333333333333331</v>
      </c>
      <c r="H40" s="4">
        <f t="shared" si="2"/>
        <v>0.58333333333333326</v>
      </c>
      <c r="I40" s="2">
        <v>0</v>
      </c>
    </row>
    <row r="41" spans="1:9" x14ac:dyDescent="0.35">
      <c r="A41" s="1" t="s">
        <v>84</v>
      </c>
      <c r="B41" s="10" t="s">
        <v>65</v>
      </c>
      <c r="C41" s="7">
        <v>180</v>
      </c>
      <c r="D41" s="3">
        <f t="shared" si="1"/>
        <v>3</v>
      </c>
      <c r="E41" s="3" t="s">
        <v>166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5">
      <c r="A42" s="1" t="s">
        <v>86</v>
      </c>
      <c r="B42" s="10" t="s">
        <v>67</v>
      </c>
      <c r="C42" s="7">
        <v>240</v>
      </c>
      <c r="D42" s="3">
        <f t="shared" si="1"/>
        <v>4</v>
      </c>
      <c r="E42" s="3"/>
      <c r="F42" s="3"/>
      <c r="G42" s="4">
        <f t="shared" si="3"/>
        <v>0.33333333333333331</v>
      </c>
      <c r="H42" s="4">
        <f t="shared" si="2"/>
        <v>0.58333333333333326</v>
      </c>
      <c r="I42" s="2">
        <v>0</v>
      </c>
    </row>
    <row r="43" spans="1:9" ht="14.5" customHeight="1" x14ac:dyDescent="0.35">
      <c r="A43" s="1" t="s">
        <v>88</v>
      </c>
      <c r="B43" s="10" t="s">
        <v>69</v>
      </c>
      <c r="C43" s="7">
        <v>150</v>
      </c>
      <c r="D43" s="3">
        <f t="shared" si="1"/>
        <v>2.5</v>
      </c>
      <c r="E43" s="3"/>
      <c r="F43" s="3"/>
      <c r="G43" s="4">
        <f t="shared" si="3"/>
        <v>0.33333333333333331</v>
      </c>
      <c r="H43" s="4">
        <f t="shared" si="2"/>
        <v>0.58333333333333326</v>
      </c>
      <c r="I43" s="2">
        <v>0</v>
      </c>
    </row>
    <row r="44" spans="1:9" x14ac:dyDescent="0.35">
      <c r="A44" s="1" t="s">
        <v>90</v>
      </c>
      <c r="B44" s="10" t="s">
        <v>75</v>
      </c>
      <c r="C44" s="7">
        <v>120</v>
      </c>
      <c r="D44" s="3">
        <f t="shared" si="1"/>
        <v>2</v>
      </c>
      <c r="E44" s="3" t="s">
        <v>78</v>
      </c>
      <c r="F44" s="3"/>
      <c r="G44" s="4">
        <f t="shared" si="3"/>
        <v>0.33333333333333331</v>
      </c>
      <c r="H44" s="4">
        <f t="shared" si="2"/>
        <v>0.58333333333333326</v>
      </c>
      <c r="I44" s="2">
        <v>1</v>
      </c>
    </row>
    <row r="45" spans="1:9" x14ac:dyDescent="0.35">
      <c r="A45" s="1" t="s">
        <v>92</v>
      </c>
      <c r="B45" s="10" t="s">
        <v>77</v>
      </c>
      <c r="C45" s="7">
        <v>120</v>
      </c>
      <c r="D45" s="3">
        <f t="shared" si="1"/>
        <v>2</v>
      </c>
      <c r="E45" s="3" t="s">
        <v>60</v>
      </c>
      <c r="F45" s="3"/>
      <c r="G45" s="4">
        <f t="shared" si="3"/>
        <v>0.33333333333333331</v>
      </c>
      <c r="H45" s="4">
        <f t="shared" si="2"/>
        <v>0.58333333333333326</v>
      </c>
      <c r="I45" s="2">
        <v>0</v>
      </c>
    </row>
    <row r="46" spans="1:9" x14ac:dyDescent="0.35">
      <c r="A46" s="1" t="s">
        <v>94</v>
      </c>
      <c r="B46" s="10" t="s">
        <v>79</v>
      </c>
      <c r="C46" s="7">
        <v>240</v>
      </c>
      <c r="D46" s="3">
        <f t="shared" si="1"/>
        <v>4</v>
      </c>
      <c r="E46" s="3" t="s">
        <v>90</v>
      </c>
      <c r="F46" s="3"/>
      <c r="G46" s="4">
        <v>0.3</v>
      </c>
      <c r="H46" s="4">
        <f t="shared" si="2"/>
        <v>0.52500000000000002</v>
      </c>
      <c r="I46" s="2">
        <v>0</v>
      </c>
    </row>
    <row r="47" spans="1:9" x14ac:dyDescent="0.35">
      <c r="A47" s="1" t="s">
        <v>96</v>
      </c>
      <c r="B47" s="10" t="s">
        <v>81</v>
      </c>
      <c r="C47" s="7">
        <v>150</v>
      </c>
      <c r="D47" s="3">
        <f t="shared" si="1"/>
        <v>2.5</v>
      </c>
      <c r="E47" s="3" t="s">
        <v>167</v>
      </c>
      <c r="F47" s="3"/>
      <c r="G47" s="4">
        <v>0.3</v>
      </c>
      <c r="H47" s="4">
        <f t="shared" si="2"/>
        <v>0.52500000000000002</v>
      </c>
      <c r="I47" s="2">
        <v>0</v>
      </c>
    </row>
    <row r="48" spans="1:9" x14ac:dyDescent="0.35">
      <c r="A48" s="1" t="s">
        <v>98</v>
      </c>
      <c r="B48" s="10" t="s">
        <v>83</v>
      </c>
      <c r="C48" s="7">
        <v>240</v>
      </c>
      <c r="D48" s="3">
        <f t="shared" si="1"/>
        <v>4</v>
      </c>
      <c r="E48" s="3" t="s">
        <v>168</v>
      </c>
      <c r="F48" s="3"/>
      <c r="G48" s="4">
        <v>0.3</v>
      </c>
      <c r="H48" s="4">
        <f t="shared" si="2"/>
        <v>0.52500000000000002</v>
      </c>
      <c r="I48" s="2">
        <v>0</v>
      </c>
    </row>
    <row r="49" spans="1:9" x14ac:dyDescent="0.35">
      <c r="A49" s="1" t="s">
        <v>100</v>
      </c>
      <c r="B49" s="10" t="s">
        <v>183</v>
      </c>
      <c r="C49" s="7">
        <v>280</v>
      </c>
      <c r="D49" s="3">
        <f t="shared" si="1"/>
        <v>4.666666666666667</v>
      </c>
      <c r="E49" s="3" t="s">
        <v>90</v>
      </c>
      <c r="F49" s="3"/>
      <c r="G49" s="4">
        <v>0.1</v>
      </c>
      <c r="H49" s="4">
        <f t="shared" si="2"/>
        <v>0.17500000000000002</v>
      </c>
      <c r="I49" s="2">
        <v>0</v>
      </c>
    </row>
    <row r="50" spans="1:9" x14ac:dyDescent="0.35">
      <c r="A50" s="1" t="s">
        <v>102</v>
      </c>
      <c r="B50" s="10" t="s">
        <v>87</v>
      </c>
      <c r="C50" s="7">
        <v>240</v>
      </c>
      <c r="D50" s="3">
        <f t="shared" si="1"/>
        <v>4</v>
      </c>
      <c r="E50" s="3" t="s">
        <v>52</v>
      </c>
      <c r="F50" s="3"/>
      <c r="G50" s="4">
        <v>0.25</v>
      </c>
      <c r="H50" s="4">
        <f t="shared" si="2"/>
        <v>0.4375</v>
      </c>
      <c r="I50" s="2">
        <v>0</v>
      </c>
    </row>
    <row r="51" spans="1:9" x14ac:dyDescent="0.35">
      <c r="A51" s="1" t="s">
        <v>104</v>
      </c>
      <c r="B51" s="10" t="s">
        <v>89</v>
      </c>
      <c r="C51" s="7">
        <v>180</v>
      </c>
      <c r="D51" s="3">
        <f t="shared" si="1"/>
        <v>3</v>
      </c>
      <c r="E51" s="3" t="s">
        <v>90</v>
      </c>
      <c r="F51" s="3"/>
      <c r="G51" s="4">
        <v>0.25</v>
      </c>
      <c r="H51" s="4">
        <f t="shared" si="2"/>
        <v>0.4375</v>
      </c>
      <c r="I51" s="2">
        <v>0</v>
      </c>
    </row>
    <row r="52" spans="1:9" x14ac:dyDescent="0.35">
      <c r="A52" s="1" t="s">
        <v>106</v>
      </c>
      <c r="B52" s="10" t="s">
        <v>91</v>
      </c>
      <c r="C52" s="7">
        <v>150</v>
      </c>
      <c r="D52" s="3">
        <f t="shared" si="1"/>
        <v>2.5</v>
      </c>
      <c r="E52" s="3" t="s">
        <v>66</v>
      </c>
      <c r="F52" s="3"/>
      <c r="G52" s="4">
        <v>0.25</v>
      </c>
      <c r="H52" s="4">
        <f t="shared" si="2"/>
        <v>0.4375</v>
      </c>
      <c r="I52" s="2">
        <v>0</v>
      </c>
    </row>
    <row r="53" spans="1:9" x14ac:dyDescent="0.35">
      <c r="A53" s="1" t="s">
        <v>108</v>
      </c>
      <c r="B53" s="10" t="s">
        <v>93</v>
      </c>
      <c r="C53" s="7">
        <v>180</v>
      </c>
      <c r="D53" s="3">
        <f t="shared" si="1"/>
        <v>3</v>
      </c>
      <c r="E53" s="3" t="s">
        <v>36</v>
      </c>
      <c r="F53" s="3"/>
      <c r="G53" s="4">
        <v>0.25</v>
      </c>
      <c r="H53" s="4">
        <f t="shared" si="2"/>
        <v>0.4375</v>
      </c>
      <c r="I53" s="2">
        <v>0</v>
      </c>
    </row>
    <row r="54" spans="1:9" x14ac:dyDescent="0.35">
      <c r="A54" s="1" t="s">
        <v>110</v>
      </c>
      <c r="B54" s="10" t="s">
        <v>95</v>
      </c>
      <c r="C54" s="7">
        <v>180</v>
      </c>
      <c r="D54" s="3">
        <f t="shared" si="1"/>
        <v>3</v>
      </c>
      <c r="E54" s="3" t="s">
        <v>36</v>
      </c>
      <c r="F54" s="3"/>
      <c r="G54" s="4">
        <v>0.25</v>
      </c>
      <c r="H54" s="4">
        <f t="shared" si="2"/>
        <v>0.4375</v>
      </c>
      <c r="I54" s="2">
        <v>1</v>
      </c>
    </row>
    <row r="55" spans="1:9" x14ac:dyDescent="0.35">
      <c r="A55" s="1" t="s">
        <v>112</v>
      </c>
      <c r="B55" s="10" t="s">
        <v>97</v>
      </c>
      <c r="C55" s="7">
        <v>240</v>
      </c>
      <c r="D55" s="3">
        <f t="shared" si="1"/>
        <v>4</v>
      </c>
      <c r="E55" s="3" t="s">
        <v>110</v>
      </c>
      <c r="F55" s="3"/>
      <c r="G55" s="4">
        <v>0.25</v>
      </c>
      <c r="H55" s="4">
        <f t="shared" si="2"/>
        <v>0.4375</v>
      </c>
      <c r="I55" s="2">
        <v>1</v>
      </c>
    </row>
    <row r="56" spans="1:9" x14ac:dyDescent="0.35">
      <c r="A56" s="1" t="s">
        <v>114</v>
      </c>
      <c r="B56" s="10" t="s">
        <v>99</v>
      </c>
      <c r="C56" s="7">
        <v>180</v>
      </c>
      <c r="D56" s="3">
        <f t="shared" si="1"/>
        <v>3</v>
      </c>
      <c r="E56" s="3" t="s">
        <v>112</v>
      </c>
      <c r="F56" s="3"/>
      <c r="G56" s="4">
        <v>0.25</v>
      </c>
      <c r="H56" s="4">
        <f t="shared" si="2"/>
        <v>0.4375</v>
      </c>
      <c r="I56" s="2">
        <v>1</v>
      </c>
    </row>
    <row r="57" spans="1:9" x14ac:dyDescent="0.35">
      <c r="A57" s="1" t="s">
        <v>116</v>
      </c>
      <c r="B57" s="10" t="s">
        <v>101</v>
      </c>
      <c r="C57" s="7">
        <v>50</v>
      </c>
      <c r="D57" s="3">
        <f t="shared" si="1"/>
        <v>0.83333333333333337</v>
      </c>
      <c r="E57" s="3" t="s">
        <v>169</v>
      </c>
      <c r="F57" s="3"/>
      <c r="G57" s="4">
        <v>0.25</v>
      </c>
      <c r="H57" s="4">
        <f t="shared" si="2"/>
        <v>0.4375</v>
      </c>
      <c r="I57" s="2">
        <v>1</v>
      </c>
    </row>
    <row r="58" spans="1:9" x14ac:dyDescent="0.35">
      <c r="A58" s="1" t="s">
        <v>118</v>
      </c>
      <c r="B58" s="10" t="s">
        <v>103</v>
      </c>
      <c r="C58" s="7">
        <v>180</v>
      </c>
      <c r="D58" s="3">
        <f t="shared" si="1"/>
        <v>3</v>
      </c>
      <c r="E58" s="3" t="s">
        <v>102</v>
      </c>
      <c r="F58" s="3"/>
      <c r="G58" s="4">
        <v>0.5</v>
      </c>
      <c r="H58" s="4">
        <f t="shared" si="2"/>
        <v>0.875</v>
      </c>
      <c r="I58" s="2">
        <v>1</v>
      </c>
    </row>
    <row r="59" spans="1:9" x14ac:dyDescent="0.35">
      <c r="A59" s="1" t="s">
        <v>120</v>
      </c>
      <c r="B59" s="10" t="s">
        <v>105</v>
      </c>
      <c r="C59" s="7">
        <v>180</v>
      </c>
      <c r="D59" s="3">
        <f t="shared" si="1"/>
        <v>3</v>
      </c>
      <c r="E59" s="3" t="s">
        <v>118</v>
      </c>
      <c r="F59" s="3"/>
      <c r="G59" s="4">
        <v>0.5</v>
      </c>
      <c r="H59" s="4">
        <f t="shared" si="2"/>
        <v>0.875</v>
      </c>
      <c r="I59" s="2">
        <v>0</v>
      </c>
    </row>
    <row r="60" spans="1:9" x14ac:dyDescent="0.35">
      <c r="A60" s="1" t="s">
        <v>122</v>
      </c>
      <c r="B60" s="10" t="s">
        <v>107</v>
      </c>
      <c r="C60" s="7">
        <v>180</v>
      </c>
      <c r="D60" s="3">
        <f t="shared" si="1"/>
        <v>3</v>
      </c>
      <c r="E60" s="3"/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5">
      <c r="A61" s="1" t="s">
        <v>124</v>
      </c>
      <c r="B61" s="10" t="s">
        <v>109</v>
      </c>
      <c r="C61" s="7">
        <v>180</v>
      </c>
      <c r="D61" s="3">
        <f t="shared" si="1"/>
        <v>3</v>
      </c>
      <c r="E61" s="3" t="s">
        <v>90</v>
      </c>
      <c r="F61" s="3"/>
      <c r="G61" s="4">
        <f>1/6</f>
        <v>0.16666666666666666</v>
      </c>
      <c r="H61" s="4">
        <f t="shared" si="2"/>
        <v>0.29166666666666663</v>
      </c>
      <c r="I61" s="2">
        <v>0</v>
      </c>
    </row>
    <row r="62" spans="1:9" x14ac:dyDescent="0.35">
      <c r="A62" s="1" t="s">
        <v>126</v>
      </c>
      <c r="B62" s="10" t="s">
        <v>111</v>
      </c>
      <c r="C62" s="7">
        <v>180</v>
      </c>
      <c r="D62" s="3">
        <f t="shared" si="1"/>
        <v>3</v>
      </c>
      <c r="E62" s="3" t="s">
        <v>90</v>
      </c>
      <c r="F62" s="3"/>
      <c r="G62" s="4">
        <f>1/6</f>
        <v>0.16666666666666666</v>
      </c>
      <c r="H62" s="4">
        <f t="shared" si="2"/>
        <v>0.29166666666666663</v>
      </c>
      <c r="I62" s="2">
        <v>0</v>
      </c>
    </row>
    <row r="63" spans="1:9" x14ac:dyDescent="0.35">
      <c r="A63" s="1" t="s">
        <v>128</v>
      </c>
      <c r="B63" s="10" t="s">
        <v>113</v>
      </c>
      <c r="C63" s="7">
        <v>150</v>
      </c>
      <c r="D63" s="3">
        <f t="shared" si="1"/>
        <v>2.5</v>
      </c>
      <c r="E63" s="3" t="s">
        <v>122</v>
      </c>
      <c r="F63" s="3"/>
      <c r="G63" s="4">
        <f>1/6</f>
        <v>0.16666666666666666</v>
      </c>
      <c r="H63" s="4">
        <f t="shared" si="2"/>
        <v>0.29166666666666663</v>
      </c>
      <c r="I63" s="2">
        <v>1</v>
      </c>
    </row>
    <row r="64" spans="1:9" x14ac:dyDescent="0.35">
      <c r="A64" s="1" t="s">
        <v>130</v>
      </c>
      <c r="B64" s="10" t="s">
        <v>115</v>
      </c>
      <c r="C64" s="7">
        <v>120</v>
      </c>
      <c r="D64" s="3">
        <f t="shared" si="1"/>
        <v>2</v>
      </c>
      <c r="E64" s="3" t="s">
        <v>170</v>
      </c>
      <c r="F64" s="3"/>
      <c r="G64" s="4">
        <f>1/6</f>
        <v>0.16666666666666666</v>
      </c>
      <c r="H64" s="4">
        <f t="shared" si="2"/>
        <v>0.29166666666666663</v>
      </c>
      <c r="I64" s="2">
        <v>0</v>
      </c>
    </row>
    <row r="65" spans="1:9" x14ac:dyDescent="0.35">
      <c r="A65" s="1" t="s">
        <v>132</v>
      </c>
      <c r="B65" s="10" t="s">
        <v>117</v>
      </c>
      <c r="C65" s="7">
        <v>150</v>
      </c>
      <c r="D65" s="3">
        <f t="shared" si="1"/>
        <v>2.5</v>
      </c>
      <c r="E65" s="3" t="s">
        <v>170</v>
      </c>
      <c r="F65" s="3"/>
      <c r="G65" s="4">
        <v>0.5</v>
      </c>
      <c r="H65" s="4">
        <f t="shared" si="2"/>
        <v>0.875</v>
      </c>
      <c r="I65" s="2">
        <v>0</v>
      </c>
    </row>
    <row r="66" spans="1:9" x14ac:dyDescent="0.35">
      <c r="A66" s="1" t="s">
        <v>134</v>
      </c>
      <c r="B66" s="10" t="s">
        <v>119</v>
      </c>
      <c r="C66" s="7">
        <v>180</v>
      </c>
      <c r="D66" s="3">
        <f t="shared" si="1"/>
        <v>3</v>
      </c>
      <c r="E66" s="3" t="s">
        <v>132</v>
      </c>
      <c r="F66" s="3"/>
      <c r="G66" s="4">
        <v>0.5</v>
      </c>
      <c r="H66" s="4">
        <f t="shared" si="2"/>
        <v>0.875</v>
      </c>
      <c r="I66" s="2">
        <v>0</v>
      </c>
    </row>
    <row r="67" spans="1:9" x14ac:dyDescent="0.35">
      <c r="A67" s="1" t="s">
        <v>136</v>
      </c>
      <c r="B67" s="10" t="s">
        <v>121</v>
      </c>
      <c r="C67" s="7">
        <v>150</v>
      </c>
      <c r="D67" s="3">
        <f t="shared" si="1"/>
        <v>2.5</v>
      </c>
      <c r="E67" s="3"/>
      <c r="F67" s="3"/>
      <c r="G67" s="4">
        <f>1/6</f>
        <v>0.16666666666666666</v>
      </c>
      <c r="H67" s="4">
        <f t="shared" si="2"/>
        <v>0.29166666666666663</v>
      </c>
      <c r="I67" s="2">
        <v>0</v>
      </c>
    </row>
    <row r="68" spans="1:9" x14ac:dyDescent="0.35">
      <c r="A68" s="1" t="s">
        <v>138</v>
      </c>
      <c r="B68" s="10" t="s">
        <v>125</v>
      </c>
      <c r="C68" s="7">
        <v>240</v>
      </c>
      <c r="D68" s="3">
        <f t="shared" si="1"/>
        <v>4</v>
      </c>
      <c r="E68" s="3" t="s">
        <v>118</v>
      </c>
      <c r="F68" s="3"/>
      <c r="G68" s="4">
        <f t="shared" ref="G68:G74" si="4">1/3</f>
        <v>0.33333333333333331</v>
      </c>
      <c r="H68" s="4">
        <f t="shared" si="2"/>
        <v>0.58333333333333326</v>
      </c>
      <c r="I68" s="2">
        <v>0</v>
      </c>
    </row>
    <row r="69" spans="1:9" x14ac:dyDescent="0.35">
      <c r="A69" s="1" t="s">
        <v>140</v>
      </c>
      <c r="B69" s="10" t="s">
        <v>184</v>
      </c>
      <c r="C69" s="7">
        <v>240</v>
      </c>
      <c r="D69" s="3">
        <f t="shared" si="1"/>
        <v>4</v>
      </c>
      <c r="E69" s="3" t="s">
        <v>118</v>
      </c>
      <c r="F69" s="3"/>
      <c r="G69" s="4">
        <f t="shared" si="4"/>
        <v>0.33333333333333331</v>
      </c>
      <c r="H69" s="4">
        <f t="shared" si="2"/>
        <v>0.58333333333333326</v>
      </c>
      <c r="I69" s="2">
        <v>0</v>
      </c>
    </row>
    <row r="70" spans="1:9" x14ac:dyDescent="0.35">
      <c r="A70" s="1" t="s">
        <v>142</v>
      </c>
      <c r="B70" s="10" t="s">
        <v>131</v>
      </c>
      <c r="C70" s="7">
        <v>120</v>
      </c>
      <c r="D70" s="3">
        <f t="shared" si="1"/>
        <v>2</v>
      </c>
      <c r="E70" s="3" t="s">
        <v>132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5">
      <c r="A71" s="1" t="s">
        <v>144</v>
      </c>
      <c r="B71" s="10" t="s">
        <v>133</v>
      </c>
      <c r="C71" s="7">
        <v>240</v>
      </c>
      <c r="D71" s="3">
        <f t="shared" si="1"/>
        <v>4</v>
      </c>
      <c r="E71" s="3"/>
      <c r="F71" s="3"/>
      <c r="G71" s="4">
        <f t="shared" si="4"/>
        <v>0.33333333333333331</v>
      </c>
      <c r="H71" s="4">
        <f t="shared" si="2"/>
        <v>0.58333333333333326</v>
      </c>
      <c r="I71" s="2">
        <v>0</v>
      </c>
    </row>
    <row r="72" spans="1:9" x14ac:dyDescent="0.35">
      <c r="A72" s="1" t="s">
        <v>146</v>
      </c>
      <c r="B72" s="10" t="s">
        <v>135</v>
      </c>
      <c r="C72" s="7">
        <v>180</v>
      </c>
      <c r="D72" s="3">
        <f t="shared" si="1"/>
        <v>3</v>
      </c>
      <c r="E72" s="3" t="s">
        <v>138</v>
      </c>
      <c r="F72" s="3"/>
      <c r="G72" s="4">
        <f t="shared" si="4"/>
        <v>0.33333333333333331</v>
      </c>
      <c r="H72" s="4">
        <f t="shared" si="2"/>
        <v>0.58333333333333326</v>
      </c>
      <c r="I72" s="2">
        <v>1</v>
      </c>
    </row>
    <row r="73" spans="1:9" x14ac:dyDescent="0.35">
      <c r="A73" s="1" t="s">
        <v>148</v>
      </c>
      <c r="B73" s="10" t="s">
        <v>185</v>
      </c>
      <c r="C73" s="7">
        <v>150</v>
      </c>
      <c r="D73" s="3">
        <f t="shared" si="1"/>
        <v>2.5</v>
      </c>
      <c r="E73" s="3" t="s">
        <v>142</v>
      </c>
      <c r="F73" s="3"/>
      <c r="G73" s="4">
        <f t="shared" si="4"/>
        <v>0.33333333333333331</v>
      </c>
      <c r="H73" s="4">
        <f t="shared" si="2"/>
        <v>0.58333333333333326</v>
      </c>
      <c r="I73" s="2">
        <v>1</v>
      </c>
    </row>
    <row r="74" spans="1:9" x14ac:dyDescent="0.35">
      <c r="A74" s="1" t="s">
        <v>150</v>
      </c>
      <c r="B74" s="10" t="s">
        <v>137</v>
      </c>
      <c r="C74" s="7">
        <v>180</v>
      </c>
      <c r="D74" s="3">
        <f t="shared" si="1"/>
        <v>3</v>
      </c>
      <c r="E74" s="3" t="s">
        <v>148</v>
      </c>
      <c r="F74" s="3"/>
      <c r="G74" s="4">
        <f t="shared" si="4"/>
        <v>0.33333333333333331</v>
      </c>
      <c r="H74" s="4">
        <f t="shared" si="2"/>
        <v>0.58333333333333326</v>
      </c>
      <c r="I74" s="2">
        <v>0</v>
      </c>
    </row>
    <row r="75" spans="1:9" x14ac:dyDescent="0.35">
      <c r="A75" s="1" t="s">
        <v>152</v>
      </c>
      <c r="B75" s="10" t="s">
        <v>186</v>
      </c>
      <c r="C75" s="7">
        <v>240</v>
      </c>
      <c r="D75" s="3">
        <f t="shared" ref="D75:D80" si="5">C75/60</f>
        <v>4</v>
      </c>
      <c r="E75" s="8" t="s">
        <v>173</v>
      </c>
      <c r="F75" s="3"/>
      <c r="G75" s="4">
        <v>0.5</v>
      </c>
      <c r="H75" s="4">
        <f t="shared" ref="H75:H79" si="6">G75*1.75</f>
        <v>0.875</v>
      </c>
      <c r="I75" s="2">
        <v>0</v>
      </c>
    </row>
    <row r="76" spans="1:9" x14ac:dyDescent="0.35">
      <c r="A76" s="1" t="s">
        <v>154</v>
      </c>
      <c r="B76" s="10" t="s">
        <v>187</v>
      </c>
      <c r="C76" s="7">
        <v>180</v>
      </c>
      <c r="D76" s="3">
        <f t="shared" si="5"/>
        <v>3</v>
      </c>
      <c r="E76" s="3"/>
      <c r="F76" s="3"/>
      <c r="G76" s="4">
        <v>0.5</v>
      </c>
      <c r="H76" s="4">
        <f t="shared" si="6"/>
        <v>0.875</v>
      </c>
      <c r="I76" s="2">
        <v>1</v>
      </c>
    </row>
    <row r="77" spans="1:9" x14ac:dyDescent="0.35">
      <c r="A77" s="1" t="s">
        <v>159</v>
      </c>
      <c r="B77" s="10" t="s">
        <v>188</v>
      </c>
      <c r="C77" s="7">
        <v>180</v>
      </c>
      <c r="D77" s="3">
        <f t="shared" si="5"/>
        <v>3</v>
      </c>
      <c r="E77" s="3" t="s">
        <v>146</v>
      </c>
      <c r="F77" s="3"/>
      <c r="G77" s="4">
        <v>0.5</v>
      </c>
      <c r="H77" s="4">
        <f t="shared" si="6"/>
        <v>0.875</v>
      </c>
      <c r="I77" s="2">
        <v>0</v>
      </c>
    </row>
    <row r="78" spans="1:9" x14ac:dyDescent="0.35">
      <c r="A78" s="1" t="s">
        <v>160</v>
      </c>
      <c r="B78" s="10" t="s">
        <v>143</v>
      </c>
      <c r="C78" s="7">
        <v>240</v>
      </c>
      <c r="D78" s="3">
        <f t="shared" si="5"/>
        <v>4</v>
      </c>
      <c r="E78" s="3" t="s">
        <v>171</v>
      </c>
      <c r="F78" s="3"/>
      <c r="G78" s="4">
        <v>1</v>
      </c>
      <c r="H78" s="4">
        <f t="shared" si="6"/>
        <v>1.75</v>
      </c>
      <c r="I78" s="2">
        <v>0</v>
      </c>
    </row>
    <row r="79" spans="1:9" x14ac:dyDescent="0.35">
      <c r="A79" s="1" t="s">
        <v>161</v>
      </c>
      <c r="B79" s="10" t="s">
        <v>145</v>
      </c>
      <c r="C79" s="7">
        <v>510</v>
      </c>
      <c r="D79" s="3">
        <f t="shared" si="5"/>
        <v>8.5</v>
      </c>
      <c r="E79" s="3" t="s">
        <v>172</v>
      </c>
      <c r="F79" s="3"/>
      <c r="G79" s="4">
        <v>0.5</v>
      </c>
      <c r="H79" s="4">
        <f t="shared" si="6"/>
        <v>0.875</v>
      </c>
      <c r="I79" s="2">
        <v>0</v>
      </c>
    </row>
    <row r="80" spans="1:9" x14ac:dyDescent="0.35">
      <c r="A80" s="1" t="s">
        <v>162</v>
      </c>
      <c r="B80" s="10" t="s">
        <v>151</v>
      </c>
      <c r="C80" s="7">
        <v>300</v>
      </c>
      <c r="D80" s="3">
        <f t="shared" si="5"/>
        <v>5</v>
      </c>
      <c r="E80" s="3"/>
      <c r="F80" s="3"/>
      <c r="G80" s="4">
        <v>0.5</v>
      </c>
      <c r="H80" s="4">
        <f>G80*1.75</f>
        <v>0.875</v>
      </c>
      <c r="I80" s="2">
        <v>0</v>
      </c>
    </row>
    <row r="81" spans="2:9" x14ac:dyDescent="0.35">
      <c r="B81" s="10" t="s">
        <v>153</v>
      </c>
      <c r="G81" s="4">
        <f>SUM(G10:G80)</f>
        <v>20.999999999999996</v>
      </c>
      <c r="H81" s="4">
        <f>SUM(H10:H80)</f>
        <v>36.749999999999993</v>
      </c>
      <c r="I8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D888-D85D-445E-9ABD-CF7941DDF07A}">
  <dimension ref="A2:L97"/>
  <sheetViews>
    <sheetView workbookViewId="0">
      <selection sqref="A1:XFD1048576"/>
    </sheetView>
  </sheetViews>
  <sheetFormatPr defaultRowHeight="14.5" x14ac:dyDescent="0.35"/>
  <cols>
    <col min="1" max="1" width="8.90625" style="1" bestFit="1" customWidth="1"/>
    <col min="2" max="2" width="22.1796875" style="1" bestFit="1" customWidth="1"/>
    <col min="3" max="3" width="16.36328125" style="1" bestFit="1" customWidth="1"/>
    <col min="4" max="4" width="16.36328125" style="6" bestFit="1" customWidth="1"/>
    <col min="5" max="5" width="33.453125" style="6" customWidth="1"/>
    <col min="6" max="6" width="12.6328125" style="6" customWidth="1"/>
    <col min="7" max="8" width="14.7265625" style="6" bestFit="1" customWidth="1"/>
    <col min="9" max="9" width="14.7265625" style="1" bestFit="1" customWidth="1"/>
    <col min="10" max="11" width="8.7265625" style="1"/>
    <col min="12" max="12" width="15.90625" style="1" bestFit="1" customWidth="1"/>
    <col min="13" max="16384" width="8.7265625" style="1"/>
  </cols>
  <sheetData>
    <row r="2" spans="1:12" x14ac:dyDescent="0.35">
      <c r="B2" s="2" t="s">
        <v>0</v>
      </c>
      <c r="C2" s="2" t="s">
        <v>229</v>
      </c>
    </row>
    <row r="3" spans="1:12" x14ac:dyDescent="0.35">
      <c r="D3" s="1"/>
      <c r="E3" s="1"/>
      <c r="F3" s="1"/>
    </row>
    <row r="4" spans="1:12" ht="15" customHeight="1" x14ac:dyDescent="0.35">
      <c r="A4" s="1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8</v>
      </c>
      <c r="I4" s="5" t="s">
        <v>9</v>
      </c>
    </row>
    <row r="5" spans="1:12" ht="15" customHeight="1" x14ac:dyDescent="0.35">
      <c r="A5" s="1" t="s">
        <v>10</v>
      </c>
      <c r="B5" s="2"/>
      <c r="C5" s="3">
        <f>SUM(C6:C80)</f>
        <v>12140</v>
      </c>
      <c r="D5" s="3">
        <f>SUM(D6:D80)</f>
        <v>202.33333333333331</v>
      </c>
      <c r="E5" s="3"/>
      <c r="F5" s="3"/>
      <c r="G5" s="3">
        <f>SUM(G10:G80)</f>
        <v>20.999999999999996</v>
      </c>
      <c r="H5" s="4">
        <f>SUM(H10:H80)</f>
        <v>36.749999999999993</v>
      </c>
      <c r="I5" s="2"/>
    </row>
    <row r="6" spans="1:12" ht="15" customHeight="1" x14ac:dyDescent="0.35">
      <c r="A6" s="1" t="s">
        <v>11</v>
      </c>
      <c r="B6" s="9" t="s">
        <v>155</v>
      </c>
      <c r="C6" s="7">
        <v>150</v>
      </c>
      <c r="D6" s="3">
        <f t="shared" ref="D6:D9" si="0">C6/60</f>
        <v>2.5</v>
      </c>
      <c r="E6" s="3"/>
      <c r="F6" s="3"/>
      <c r="G6" s="3"/>
      <c r="H6" s="4"/>
      <c r="I6" s="2"/>
    </row>
    <row r="7" spans="1:12" ht="15" customHeight="1" x14ac:dyDescent="0.35">
      <c r="A7" s="1" t="s">
        <v>13</v>
      </c>
      <c r="B7" s="9" t="s">
        <v>156</v>
      </c>
      <c r="C7" s="7">
        <v>180</v>
      </c>
      <c r="D7" s="3">
        <f t="shared" si="0"/>
        <v>3</v>
      </c>
      <c r="E7" s="3"/>
      <c r="F7" s="3"/>
      <c r="G7" s="3"/>
      <c r="H7" s="4"/>
      <c r="I7" s="2"/>
    </row>
    <row r="8" spans="1:12" ht="15" customHeight="1" x14ac:dyDescent="0.35">
      <c r="A8" s="1" t="s">
        <v>16</v>
      </c>
      <c r="B8" s="9" t="s">
        <v>157</v>
      </c>
      <c r="C8" s="7">
        <v>180</v>
      </c>
      <c r="D8" s="3">
        <f t="shared" si="0"/>
        <v>3</v>
      </c>
      <c r="E8" s="3"/>
      <c r="F8" s="3"/>
      <c r="G8" s="3"/>
      <c r="H8" s="4"/>
      <c r="I8" s="2"/>
    </row>
    <row r="9" spans="1:12" ht="15" customHeight="1" x14ac:dyDescent="0.35">
      <c r="A9" s="1" t="s">
        <v>19</v>
      </c>
      <c r="B9" s="9" t="s">
        <v>158</v>
      </c>
      <c r="C9" s="7">
        <v>180</v>
      </c>
      <c r="D9" s="3">
        <f t="shared" si="0"/>
        <v>3</v>
      </c>
      <c r="E9" s="3"/>
      <c r="F9" s="3"/>
      <c r="G9" s="3"/>
      <c r="H9" s="4"/>
      <c r="I9" s="2"/>
    </row>
    <row r="10" spans="1:12" ht="14.5" customHeight="1" x14ac:dyDescent="0.35">
      <c r="A10" s="1" t="s">
        <v>22</v>
      </c>
      <c r="B10" s="10" t="s">
        <v>12</v>
      </c>
      <c r="C10" s="7">
        <v>100</v>
      </c>
      <c r="D10" s="3">
        <f>C10/60</f>
        <v>1.6666666666666667</v>
      </c>
      <c r="E10" s="3"/>
      <c r="F10" s="3"/>
      <c r="G10" s="4">
        <f>1/6</f>
        <v>0.16666666666666666</v>
      </c>
      <c r="H10" s="4">
        <f>G10*1.75</f>
        <v>0.29166666666666663</v>
      </c>
      <c r="I10" s="2">
        <v>0</v>
      </c>
    </row>
    <row r="11" spans="1:12" x14ac:dyDescent="0.35">
      <c r="A11" s="1" t="s">
        <v>24</v>
      </c>
      <c r="B11" s="10" t="s">
        <v>14</v>
      </c>
      <c r="C11" s="7">
        <v>120</v>
      </c>
      <c r="D11" s="3">
        <f t="shared" ref="D11:D74" si="1">C11/60</f>
        <v>2</v>
      </c>
      <c r="E11" s="3"/>
      <c r="F11" s="3"/>
      <c r="G11" s="4">
        <f>1/6</f>
        <v>0.16666666666666666</v>
      </c>
      <c r="H11" s="4">
        <f t="shared" ref="H11:H74" si="2">G11*1.75</f>
        <v>0.29166666666666663</v>
      </c>
      <c r="I11" s="2">
        <v>0</v>
      </c>
      <c r="L11" s="1" t="s">
        <v>15</v>
      </c>
    </row>
    <row r="12" spans="1:12" x14ac:dyDescent="0.35">
      <c r="A12" s="1" t="s">
        <v>26</v>
      </c>
      <c r="B12" s="10" t="s">
        <v>17</v>
      </c>
      <c r="C12" s="7">
        <v>60</v>
      </c>
      <c r="D12" s="3">
        <f>C12/60</f>
        <v>1</v>
      </c>
      <c r="E12" s="3"/>
      <c r="F12" s="3"/>
      <c r="G12" s="4">
        <f>1/6</f>
        <v>0.16666666666666666</v>
      </c>
      <c r="H12" s="4">
        <f>G12*1.75</f>
        <v>0.29166666666666663</v>
      </c>
      <c r="I12" s="2">
        <v>0</v>
      </c>
      <c r="L12" s="1" t="s">
        <v>21</v>
      </c>
    </row>
    <row r="13" spans="1:12" x14ac:dyDescent="0.35">
      <c r="A13" s="1" t="s">
        <v>28</v>
      </c>
      <c r="B13" s="10" t="s">
        <v>174</v>
      </c>
      <c r="C13" s="7">
        <v>30</v>
      </c>
      <c r="D13" s="3">
        <f t="shared" si="1"/>
        <v>0.5</v>
      </c>
      <c r="E13" s="3"/>
      <c r="F13" s="3"/>
      <c r="G13" s="4">
        <f>1/6</f>
        <v>0.16666666666666666</v>
      </c>
      <c r="H13" s="4">
        <f t="shared" si="2"/>
        <v>0.29166666666666663</v>
      </c>
      <c r="I13" s="2">
        <v>0</v>
      </c>
      <c r="L13" s="1" t="s">
        <v>18</v>
      </c>
    </row>
    <row r="14" spans="1:12" x14ac:dyDescent="0.35">
      <c r="A14" s="1" t="s">
        <v>30</v>
      </c>
      <c r="B14" s="10" t="s">
        <v>20</v>
      </c>
      <c r="C14" s="7">
        <v>60</v>
      </c>
      <c r="D14" s="3">
        <f t="shared" si="1"/>
        <v>1</v>
      </c>
      <c r="E14" s="3"/>
      <c r="F14" s="3"/>
      <c r="G14" s="4">
        <f>1/6</f>
        <v>0.16666666666666666</v>
      </c>
      <c r="H14" s="4">
        <f t="shared" si="2"/>
        <v>0.29166666666666663</v>
      </c>
      <c r="I14" s="2">
        <v>0</v>
      </c>
    </row>
    <row r="15" spans="1:12" x14ac:dyDescent="0.35">
      <c r="A15" s="1" t="s">
        <v>32</v>
      </c>
      <c r="B15" s="10" t="s">
        <v>189</v>
      </c>
      <c r="C15" s="7">
        <v>30</v>
      </c>
      <c r="D15" s="3">
        <f t="shared" si="1"/>
        <v>0.5</v>
      </c>
      <c r="E15" s="8" t="s">
        <v>26</v>
      </c>
      <c r="F15" s="3"/>
      <c r="G15" s="4">
        <f>1/8</f>
        <v>0.125</v>
      </c>
      <c r="H15" s="4">
        <f t="shared" si="2"/>
        <v>0.21875</v>
      </c>
      <c r="I15" s="2">
        <v>0</v>
      </c>
    </row>
    <row r="16" spans="1:12" x14ac:dyDescent="0.35">
      <c r="A16" s="1" t="s">
        <v>34</v>
      </c>
      <c r="B16" s="10" t="s">
        <v>175</v>
      </c>
      <c r="C16" s="7">
        <v>150</v>
      </c>
      <c r="D16" s="3">
        <f t="shared" si="1"/>
        <v>2.5</v>
      </c>
      <c r="E16" s="3"/>
      <c r="F16" s="3"/>
      <c r="G16" s="4">
        <f>1/8</f>
        <v>0.125</v>
      </c>
      <c r="H16" s="4">
        <f t="shared" si="2"/>
        <v>0.21875</v>
      </c>
      <c r="I16" s="2">
        <v>1</v>
      </c>
    </row>
    <row r="17" spans="1:9" x14ac:dyDescent="0.35">
      <c r="A17" s="1" t="s">
        <v>36</v>
      </c>
      <c r="B17" s="10" t="s">
        <v>176</v>
      </c>
      <c r="C17" s="7">
        <v>180</v>
      </c>
      <c r="D17" s="3">
        <f t="shared" si="1"/>
        <v>3</v>
      </c>
      <c r="E17" s="3" t="s">
        <v>163</v>
      </c>
      <c r="F17" s="3"/>
      <c r="G17" s="4">
        <f>1/8</f>
        <v>0.125</v>
      </c>
      <c r="H17" s="4">
        <f t="shared" si="2"/>
        <v>0.21875</v>
      </c>
      <c r="I17" s="2">
        <v>1</v>
      </c>
    </row>
    <row r="18" spans="1:9" x14ac:dyDescent="0.35">
      <c r="A18" s="1" t="s">
        <v>38</v>
      </c>
      <c r="B18" s="10" t="s">
        <v>177</v>
      </c>
      <c r="C18" s="7">
        <v>180</v>
      </c>
      <c r="D18" s="3">
        <f t="shared" si="1"/>
        <v>3</v>
      </c>
      <c r="E18" s="3"/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x14ac:dyDescent="0.35">
      <c r="A19" s="1" t="s">
        <v>40</v>
      </c>
      <c r="B19" s="10" t="s">
        <v>178</v>
      </c>
      <c r="C19" s="7">
        <v>180</v>
      </c>
      <c r="D19" s="3">
        <f t="shared" si="1"/>
        <v>3</v>
      </c>
      <c r="E19" s="3" t="s">
        <v>164</v>
      </c>
      <c r="F19" s="3"/>
      <c r="G19" s="4">
        <f>1/2</f>
        <v>0.5</v>
      </c>
      <c r="H19" s="4">
        <f t="shared" si="2"/>
        <v>0.875</v>
      </c>
      <c r="I19" s="2">
        <v>1</v>
      </c>
    </row>
    <row r="20" spans="1:9" x14ac:dyDescent="0.35">
      <c r="A20" s="1" t="s">
        <v>42</v>
      </c>
      <c r="B20" s="10" t="s">
        <v>25</v>
      </c>
      <c r="C20" s="7">
        <v>60</v>
      </c>
      <c r="D20" s="3">
        <f t="shared" si="1"/>
        <v>1</v>
      </c>
      <c r="E20" s="3" t="s">
        <v>165</v>
      </c>
      <c r="F20" s="3"/>
      <c r="G20" s="4">
        <f>1/4</f>
        <v>0.25</v>
      </c>
      <c r="H20" s="4">
        <f t="shared" si="2"/>
        <v>0.4375</v>
      </c>
      <c r="I20" s="2">
        <v>0</v>
      </c>
    </row>
    <row r="21" spans="1:9" x14ac:dyDescent="0.35">
      <c r="A21" s="1" t="s">
        <v>44</v>
      </c>
      <c r="B21" s="10" t="s">
        <v>27</v>
      </c>
      <c r="C21" s="7">
        <v>50</v>
      </c>
      <c r="D21" s="3">
        <f t="shared" si="1"/>
        <v>0.83333333333333337</v>
      </c>
      <c r="E21" s="3" t="s">
        <v>30</v>
      </c>
      <c r="F21" s="3"/>
      <c r="G21" s="4">
        <f>1/8</f>
        <v>0.125</v>
      </c>
      <c r="H21" s="4">
        <f t="shared" si="2"/>
        <v>0.21875</v>
      </c>
      <c r="I21" s="2">
        <v>0</v>
      </c>
    </row>
    <row r="22" spans="1:9" x14ac:dyDescent="0.35">
      <c r="A22" s="1" t="s">
        <v>46</v>
      </c>
      <c r="B22" s="10" t="s">
        <v>29</v>
      </c>
      <c r="C22" s="7">
        <v>30</v>
      </c>
      <c r="D22" s="3">
        <f t="shared" si="1"/>
        <v>0.5</v>
      </c>
      <c r="E22" s="3" t="s">
        <v>36</v>
      </c>
      <c r="F22" s="3"/>
      <c r="G22" s="4">
        <f>1/8</f>
        <v>0.125</v>
      </c>
      <c r="H22" s="4">
        <f t="shared" si="2"/>
        <v>0.21875</v>
      </c>
      <c r="I22" s="2">
        <v>0</v>
      </c>
    </row>
    <row r="23" spans="1:9" ht="14.5" customHeight="1" x14ac:dyDescent="0.35">
      <c r="A23" s="1" t="s">
        <v>48</v>
      </c>
      <c r="B23" s="10" t="s">
        <v>31</v>
      </c>
      <c r="C23" s="7">
        <v>50</v>
      </c>
      <c r="D23" s="3">
        <f t="shared" si="1"/>
        <v>0.83333333333333337</v>
      </c>
      <c r="E23" s="3" t="s">
        <v>165</v>
      </c>
      <c r="F23" s="3"/>
      <c r="G23" s="4">
        <v>0.2</v>
      </c>
      <c r="H23" s="4">
        <f t="shared" si="2"/>
        <v>0.35000000000000003</v>
      </c>
      <c r="I23" s="2">
        <v>0</v>
      </c>
    </row>
    <row r="24" spans="1:9" x14ac:dyDescent="0.35">
      <c r="A24" s="1" t="s">
        <v>50</v>
      </c>
      <c r="B24" s="10" t="s">
        <v>33</v>
      </c>
      <c r="C24" s="7">
        <v>90</v>
      </c>
      <c r="D24" s="3">
        <f t="shared" si="1"/>
        <v>1.5</v>
      </c>
      <c r="E24" s="3" t="s">
        <v>40</v>
      </c>
      <c r="F24" s="3"/>
      <c r="G24" s="4">
        <v>0.5</v>
      </c>
      <c r="H24" s="4">
        <f t="shared" si="2"/>
        <v>0.875</v>
      </c>
      <c r="I24" s="2">
        <v>1</v>
      </c>
    </row>
    <row r="25" spans="1:9" x14ac:dyDescent="0.35">
      <c r="A25" s="1" t="s">
        <v>52</v>
      </c>
      <c r="B25" s="10" t="s">
        <v>35</v>
      </c>
      <c r="C25" s="7">
        <v>120</v>
      </c>
      <c r="D25" s="3">
        <f t="shared" si="1"/>
        <v>2</v>
      </c>
      <c r="E25" s="3" t="s">
        <v>36</v>
      </c>
      <c r="F25" s="3"/>
      <c r="G25" s="4">
        <v>0.3</v>
      </c>
      <c r="H25" s="4">
        <f t="shared" si="2"/>
        <v>0.52500000000000002</v>
      </c>
      <c r="I25" s="2">
        <v>1</v>
      </c>
    </row>
    <row r="26" spans="1:9" ht="14.5" customHeight="1" x14ac:dyDescent="0.35">
      <c r="A26" s="1" t="s">
        <v>54</v>
      </c>
      <c r="B26" s="10" t="s">
        <v>190</v>
      </c>
      <c r="C26" s="7">
        <v>150</v>
      </c>
      <c r="D26" s="3">
        <f t="shared" si="1"/>
        <v>2.5</v>
      </c>
      <c r="E26" s="3" t="s">
        <v>36</v>
      </c>
      <c r="F26" s="3"/>
      <c r="G26" s="4">
        <f>1/3</f>
        <v>0.33333333333333331</v>
      </c>
      <c r="H26" s="4">
        <f t="shared" si="2"/>
        <v>0.58333333333333326</v>
      </c>
      <c r="I26" s="2">
        <v>1</v>
      </c>
    </row>
    <row r="27" spans="1:9" x14ac:dyDescent="0.35">
      <c r="A27" s="1" t="s">
        <v>56</v>
      </c>
      <c r="B27" s="10" t="s">
        <v>39</v>
      </c>
      <c r="C27" s="7">
        <v>120</v>
      </c>
      <c r="D27" s="3">
        <f t="shared" si="1"/>
        <v>2</v>
      </c>
      <c r="E27" s="3" t="s">
        <v>34</v>
      </c>
      <c r="F27" s="3"/>
      <c r="G27" s="4">
        <f>1/3</f>
        <v>0.33333333333333331</v>
      </c>
      <c r="H27" s="4">
        <f t="shared" si="2"/>
        <v>0.58333333333333326</v>
      </c>
      <c r="I27" s="2">
        <v>0</v>
      </c>
    </row>
    <row r="28" spans="1:9" x14ac:dyDescent="0.35">
      <c r="A28" s="1" t="s">
        <v>58</v>
      </c>
      <c r="B28" s="10" t="s">
        <v>41</v>
      </c>
      <c r="C28" s="7">
        <v>120</v>
      </c>
      <c r="D28" s="3">
        <f t="shared" si="1"/>
        <v>2</v>
      </c>
      <c r="E28" s="3" t="s">
        <v>50</v>
      </c>
      <c r="F28" s="3"/>
      <c r="G28" s="4">
        <f>1/3</f>
        <v>0.33333333333333331</v>
      </c>
      <c r="H28" s="4">
        <f t="shared" si="2"/>
        <v>0.58333333333333326</v>
      </c>
      <c r="I28" s="2">
        <v>0</v>
      </c>
    </row>
    <row r="29" spans="1:9" x14ac:dyDescent="0.35">
      <c r="A29" s="1" t="s">
        <v>60</v>
      </c>
      <c r="B29" s="10" t="s">
        <v>43</v>
      </c>
      <c r="C29" s="7">
        <v>240</v>
      </c>
      <c r="D29" s="3">
        <f t="shared" si="1"/>
        <v>4</v>
      </c>
      <c r="E29" s="3"/>
      <c r="F29" s="3"/>
      <c r="G29" s="4">
        <v>0.5</v>
      </c>
      <c r="H29" s="4">
        <f t="shared" si="2"/>
        <v>0.875</v>
      </c>
      <c r="I29" s="2">
        <v>1</v>
      </c>
    </row>
    <row r="30" spans="1:9" x14ac:dyDescent="0.35">
      <c r="A30" s="1" t="s">
        <v>62</v>
      </c>
      <c r="B30" s="10" t="s">
        <v>45</v>
      </c>
      <c r="C30" s="7">
        <v>180</v>
      </c>
      <c r="D30" s="3">
        <f t="shared" si="1"/>
        <v>3</v>
      </c>
      <c r="E30" s="3" t="s">
        <v>36</v>
      </c>
      <c r="F30" s="3"/>
      <c r="G30" s="4">
        <v>0.5</v>
      </c>
      <c r="H30" s="4">
        <f t="shared" si="2"/>
        <v>0.875</v>
      </c>
      <c r="I30" s="2">
        <v>0</v>
      </c>
    </row>
    <row r="31" spans="1:9" ht="15" customHeight="1" x14ac:dyDescent="0.35">
      <c r="A31" s="1" t="s">
        <v>64</v>
      </c>
      <c r="B31" s="10" t="s">
        <v>191</v>
      </c>
      <c r="C31" s="7">
        <v>150</v>
      </c>
      <c r="D31" s="3">
        <f t="shared" si="1"/>
        <v>2.5</v>
      </c>
      <c r="E31" s="3" t="s">
        <v>36</v>
      </c>
      <c r="F31" s="3"/>
      <c r="G31" s="4">
        <v>0.25</v>
      </c>
      <c r="H31" s="4">
        <f t="shared" si="2"/>
        <v>0.4375</v>
      </c>
      <c r="I31" s="2">
        <v>0</v>
      </c>
    </row>
    <row r="32" spans="1:9" x14ac:dyDescent="0.35">
      <c r="A32" s="1" t="s">
        <v>66</v>
      </c>
      <c r="B32" s="10" t="s">
        <v>192</v>
      </c>
      <c r="C32" s="7">
        <v>150</v>
      </c>
      <c r="D32" s="3">
        <f t="shared" si="1"/>
        <v>2.5</v>
      </c>
      <c r="E32" s="3" t="s">
        <v>40</v>
      </c>
      <c r="F32" s="3"/>
      <c r="G32" s="4">
        <v>0.25</v>
      </c>
      <c r="H32" s="4">
        <f t="shared" si="2"/>
        <v>0.4375</v>
      </c>
      <c r="I32" s="2">
        <v>0</v>
      </c>
    </row>
    <row r="33" spans="1:9" x14ac:dyDescent="0.35">
      <c r="A33" s="1" t="s">
        <v>68</v>
      </c>
      <c r="B33" s="10" t="s">
        <v>193</v>
      </c>
      <c r="C33" s="7">
        <v>180</v>
      </c>
      <c r="D33" s="3">
        <f t="shared" si="1"/>
        <v>3</v>
      </c>
      <c r="E33" s="3" t="s">
        <v>40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5">
      <c r="A34" s="1" t="s">
        <v>70</v>
      </c>
      <c r="B34" s="10" t="s">
        <v>180</v>
      </c>
      <c r="C34" s="7">
        <v>180</v>
      </c>
      <c r="D34" s="3">
        <f t="shared" si="1"/>
        <v>3</v>
      </c>
      <c r="E34" s="3" t="s">
        <v>40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5">
      <c r="A35" s="1" t="s">
        <v>72</v>
      </c>
      <c r="B35" s="10" t="s">
        <v>51</v>
      </c>
      <c r="C35" s="7">
        <v>80</v>
      </c>
      <c r="D35" s="3">
        <f t="shared" si="1"/>
        <v>1.3333333333333333</v>
      </c>
      <c r="E35" s="3" t="s">
        <v>40</v>
      </c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x14ac:dyDescent="0.35">
      <c r="A36" s="1" t="s">
        <v>74</v>
      </c>
      <c r="B36" s="10" t="s">
        <v>194</v>
      </c>
      <c r="C36" s="7">
        <v>80</v>
      </c>
      <c r="D36" s="3">
        <f t="shared" si="1"/>
        <v>1.3333333333333333</v>
      </c>
      <c r="E36" s="3" t="s">
        <v>64</v>
      </c>
      <c r="F36" s="3"/>
      <c r="G36" s="4">
        <f>1/3</f>
        <v>0.33333333333333331</v>
      </c>
      <c r="H36" s="4">
        <f t="shared" si="2"/>
        <v>0.58333333333333326</v>
      </c>
      <c r="I36" s="2">
        <v>0</v>
      </c>
    </row>
    <row r="37" spans="1:9" x14ac:dyDescent="0.35">
      <c r="A37" s="1" t="s">
        <v>76</v>
      </c>
      <c r="B37" s="10" t="s">
        <v>195</v>
      </c>
      <c r="C37" s="7">
        <v>80</v>
      </c>
      <c r="D37" s="3">
        <f t="shared" si="1"/>
        <v>1.3333333333333333</v>
      </c>
      <c r="E37" s="3" t="s">
        <v>74</v>
      </c>
      <c r="F37" s="3"/>
      <c r="G37" s="4">
        <f>1/6</f>
        <v>0.16666666666666666</v>
      </c>
      <c r="H37" s="4">
        <f t="shared" si="2"/>
        <v>0.29166666666666663</v>
      </c>
      <c r="I37" s="2">
        <v>0</v>
      </c>
    </row>
    <row r="38" spans="1:9" x14ac:dyDescent="0.35">
      <c r="A38" s="1" t="s">
        <v>78</v>
      </c>
      <c r="B38" s="10" t="s">
        <v>196</v>
      </c>
      <c r="C38" s="7">
        <v>120</v>
      </c>
      <c r="D38" s="3">
        <f t="shared" si="1"/>
        <v>2</v>
      </c>
      <c r="E38" s="3" t="s">
        <v>68</v>
      </c>
      <c r="F38" s="3"/>
      <c r="G38" s="4">
        <f>1/6</f>
        <v>0.16666666666666666</v>
      </c>
      <c r="H38" s="4">
        <f t="shared" si="2"/>
        <v>0.29166666666666663</v>
      </c>
      <c r="I38" s="2">
        <v>0</v>
      </c>
    </row>
    <row r="39" spans="1:9" x14ac:dyDescent="0.35">
      <c r="A39" s="1" t="s">
        <v>80</v>
      </c>
      <c r="B39" s="10" t="s">
        <v>197</v>
      </c>
      <c r="C39" s="7">
        <v>120</v>
      </c>
      <c r="D39" s="3">
        <f t="shared" si="1"/>
        <v>2</v>
      </c>
      <c r="E39" s="3"/>
      <c r="F39" s="3"/>
      <c r="G39" s="4">
        <f>1/6</f>
        <v>0.16666666666666666</v>
      </c>
      <c r="H39" s="4">
        <f t="shared" si="2"/>
        <v>0.29166666666666663</v>
      </c>
      <c r="I39" s="2">
        <v>0</v>
      </c>
    </row>
    <row r="40" spans="1:9" ht="14.5" customHeight="1" x14ac:dyDescent="0.35">
      <c r="A40" s="1" t="s">
        <v>82</v>
      </c>
      <c r="B40" s="10" t="s">
        <v>198</v>
      </c>
      <c r="C40" s="7">
        <v>240</v>
      </c>
      <c r="D40" s="3">
        <f t="shared" si="1"/>
        <v>4</v>
      </c>
      <c r="E40" s="3" t="s">
        <v>60</v>
      </c>
      <c r="F40" s="3"/>
      <c r="G40" s="4">
        <f t="shared" ref="G40:G45" si="3">1/3</f>
        <v>0.33333333333333331</v>
      </c>
      <c r="H40" s="4">
        <f t="shared" si="2"/>
        <v>0.58333333333333326</v>
      </c>
      <c r="I40" s="2">
        <v>0</v>
      </c>
    </row>
    <row r="41" spans="1:9" x14ac:dyDescent="0.35">
      <c r="A41" s="1" t="s">
        <v>84</v>
      </c>
      <c r="B41" s="10" t="s">
        <v>199</v>
      </c>
      <c r="C41" s="7">
        <v>180</v>
      </c>
      <c r="D41" s="3">
        <f t="shared" si="1"/>
        <v>3</v>
      </c>
      <c r="E41" s="3" t="s">
        <v>166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5">
      <c r="A42" s="1" t="s">
        <v>86</v>
      </c>
      <c r="B42" s="10" t="s">
        <v>57</v>
      </c>
      <c r="C42" s="7">
        <v>240</v>
      </c>
      <c r="D42" s="3">
        <f t="shared" si="1"/>
        <v>4</v>
      </c>
      <c r="E42" s="3"/>
      <c r="F42" s="3"/>
      <c r="G42" s="4">
        <f t="shared" si="3"/>
        <v>0.33333333333333331</v>
      </c>
      <c r="H42" s="4">
        <f t="shared" si="2"/>
        <v>0.58333333333333326</v>
      </c>
      <c r="I42" s="2">
        <v>0</v>
      </c>
    </row>
    <row r="43" spans="1:9" ht="14.5" customHeight="1" x14ac:dyDescent="0.35">
      <c r="A43" s="1" t="s">
        <v>88</v>
      </c>
      <c r="B43" s="10" t="s">
        <v>59</v>
      </c>
      <c r="C43" s="7">
        <v>150</v>
      </c>
      <c r="D43" s="3">
        <f t="shared" si="1"/>
        <v>2.5</v>
      </c>
      <c r="E43" s="3"/>
      <c r="F43" s="3"/>
      <c r="G43" s="4">
        <f t="shared" si="3"/>
        <v>0.33333333333333331</v>
      </c>
      <c r="H43" s="4">
        <f t="shared" si="2"/>
        <v>0.58333333333333326</v>
      </c>
      <c r="I43" s="2">
        <v>0</v>
      </c>
    </row>
    <row r="44" spans="1:9" x14ac:dyDescent="0.35">
      <c r="A44" s="1" t="s">
        <v>90</v>
      </c>
      <c r="B44" s="10" t="s">
        <v>200</v>
      </c>
      <c r="C44" s="7">
        <v>120</v>
      </c>
      <c r="D44" s="3">
        <f t="shared" si="1"/>
        <v>2</v>
      </c>
      <c r="E44" s="3" t="s">
        <v>78</v>
      </c>
      <c r="F44" s="3"/>
      <c r="G44" s="4">
        <f t="shared" si="3"/>
        <v>0.33333333333333331</v>
      </c>
      <c r="H44" s="4">
        <f t="shared" si="2"/>
        <v>0.58333333333333326</v>
      </c>
      <c r="I44" s="2">
        <v>1</v>
      </c>
    </row>
    <row r="45" spans="1:9" x14ac:dyDescent="0.35">
      <c r="A45" s="1" t="s">
        <v>92</v>
      </c>
      <c r="B45" s="10" t="s">
        <v>63</v>
      </c>
      <c r="C45" s="7">
        <v>120</v>
      </c>
      <c r="D45" s="3">
        <f t="shared" si="1"/>
        <v>2</v>
      </c>
      <c r="E45" s="3" t="s">
        <v>60</v>
      </c>
      <c r="F45" s="3"/>
      <c r="G45" s="4">
        <f t="shared" si="3"/>
        <v>0.33333333333333331</v>
      </c>
      <c r="H45" s="4">
        <f t="shared" si="2"/>
        <v>0.58333333333333326</v>
      </c>
      <c r="I45" s="2">
        <v>0</v>
      </c>
    </row>
    <row r="46" spans="1:9" x14ac:dyDescent="0.35">
      <c r="A46" s="1" t="s">
        <v>94</v>
      </c>
      <c r="B46" s="10" t="s">
        <v>65</v>
      </c>
      <c r="C46" s="7">
        <v>240</v>
      </c>
      <c r="D46" s="3">
        <f t="shared" si="1"/>
        <v>4</v>
      </c>
      <c r="E46" s="3" t="s">
        <v>90</v>
      </c>
      <c r="F46" s="3"/>
      <c r="G46" s="4">
        <v>0.3</v>
      </c>
      <c r="H46" s="4">
        <f t="shared" si="2"/>
        <v>0.52500000000000002</v>
      </c>
      <c r="I46" s="2">
        <v>0</v>
      </c>
    </row>
    <row r="47" spans="1:9" x14ac:dyDescent="0.35">
      <c r="A47" s="1" t="s">
        <v>96</v>
      </c>
      <c r="B47" s="10" t="s">
        <v>67</v>
      </c>
      <c r="C47" s="7">
        <v>150</v>
      </c>
      <c r="D47" s="3">
        <f t="shared" si="1"/>
        <v>2.5</v>
      </c>
      <c r="E47" s="3" t="s">
        <v>167</v>
      </c>
      <c r="F47" s="3"/>
      <c r="G47" s="4">
        <v>0.3</v>
      </c>
      <c r="H47" s="4">
        <f t="shared" si="2"/>
        <v>0.52500000000000002</v>
      </c>
      <c r="I47" s="2">
        <v>0</v>
      </c>
    </row>
    <row r="48" spans="1:9" x14ac:dyDescent="0.35">
      <c r="A48" s="1" t="s">
        <v>98</v>
      </c>
      <c r="B48" s="10" t="s">
        <v>69</v>
      </c>
      <c r="C48" s="7">
        <v>240</v>
      </c>
      <c r="D48" s="3">
        <f t="shared" si="1"/>
        <v>4</v>
      </c>
      <c r="E48" s="3" t="s">
        <v>168</v>
      </c>
      <c r="F48" s="3"/>
      <c r="G48" s="4">
        <v>0.3</v>
      </c>
      <c r="H48" s="4">
        <f t="shared" si="2"/>
        <v>0.52500000000000002</v>
      </c>
      <c r="I48" s="2">
        <v>0</v>
      </c>
    </row>
    <row r="49" spans="1:9" x14ac:dyDescent="0.35">
      <c r="A49" s="1" t="s">
        <v>100</v>
      </c>
      <c r="B49" s="10" t="s">
        <v>156</v>
      </c>
      <c r="C49" s="7">
        <v>280</v>
      </c>
      <c r="D49" s="3">
        <f t="shared" si="1"/>
        <v>4.666666666666667</v>
      </c>
      <c r="E49" s="3" t="s">
        <v>90</v>
      </c>
      <c r="F49" s="3"/>
      <c r="G49" s="4">
        <v>0.1</v>
      </c>
      <c r="H49" s="4">
        <f t="shared" si="2"/>
        <v>0.17500000000000002</v>
      </c>
      <c r="I49" s="2">
        <v>0</v>
      </c>
    </row>
    <row r="50" spans="1:9" x14ac:dyDescent="0.35">
      <c r="A50" s="1" t="s">
        <v>102</v>
      </c>
      <c r="B50" s="10" t="s">
        <v>73</v>
      </c>
      <c r="C50" s="7">
        <v>240</v>
      </c>
      <c r="D50" s="3">
        <f t="shared" si="1"/>
        <v>4</v>
      </c>
      <c r="E50" s="3" t="s">
        <v>52</v>
      </c>
      <c r="F50" s="3"/>
      <c r="G50" s="4">
        <v>0.25</v>
      </c>
      <c r="H50" s="4">
        <f t="shared" si="2"/>
        <v>0.4375</v>
      </c>
      <c r="I50" s="2">
        <v>0</v>
      </c>
    </row>
    <row r="51" spans="1:9" x14ac:dyDescent="0.35">
      <c r="A51" s="1" t="s">
        <v>104</v>
      </c>
      <c r="B51" s="10" t="s">
        <v>75</v>
      </c>
      <c r="C51" s="7">
        <v>180</v>
      </c>
      <c r="D51" s="3">
        <f t="shared" si="1"/>
        <v>3</v>
      </c>
      <c r="E51" s="3" t="s">
        <v>90</v>
      </c>
      <c r="F51" s="3"/>
      <c r="G51" s="4">
        <v>0.25</v>
      </c>
      <c r="H51" s="4">
        <f t="shared" si="2"/>
        <v>0.4375</v>
      </c>
      <c r="I51" s="2">
        <v>0</v>
      </c>
    </row>
    <row r="52" spans="1:9" x14ac:dyDescent="0.35">
      <c r="A52" s="1" t="s">
        <v>106</v>
      </c>
      <c r="B52" s="10" t="s">
        <v>77</v>
      </c>
      <c r="C52" s="7">
        <v>150</v>
      </c>
      <c r="D52" s="3">
        <f t="shared" si="1"/>
        <v>2.5</v>
      </c>
      <c r="E52" s="3" t="s">
        <v>66</v>
      </c>
      <c r="F52" s="3"/>
      <c r="G52" s="4">
        <v>0.25</v>
      </c>
      <c r="H52" s="4">
        <f t="shared" si="2"/>
        <v>0.4375</v>
      </c>
      <c r="I52" s="2">
        <v>0</v>
      </c>
    </row>
    <row r="53" spans="1:9" x14ac:dyDescent="0.35">
      <c r="A53" s="1" t="s">
        <v>108</v>
      </c>
      <c r="B53" s="10" t="s">
        <v>79</v>
      </c>
      <c r="C53" s="7">
        <v>180</v>
      </c>
      <c r="D53" s="3">
        <f t="shared" si="1"/>
        <v>3</v>
      </c>
      <c r="E53" s="3" t="s">
        <v>36</v>
      </c>
      <c r="F53" s="3"/>
      <c r="G53" s="4">
        <v>0.25</v>
      </c>
      <c r="H53" s="4">
        <f t="shared" si="2"/>
        <v>0.4375</v>
      </c>
      <c r="I53" s="2">
        <v>0</v>
      </c>
    </row>
    <row r="54" spans="1:9" x14ac:dyDescent="0.35">
      <c r="A54" s="1" t="s">
        <v>110</v>
      </c>
      <c r="B54" s="10" t="s">
        <v>201</v>
      </c>
      <c r="C54" s="7">
        <v>180</v>
      </c>
      <c r="D54" s="3">
        <f t="shared" si="1"/>
        <v>3</v>
      </c>
      <c r="E54" s="3" t="s">
        <v>36</v>
      </c>
      <c r="F54" s="3"/>
      <c r="G54" s="4">
        <v>0.25</v>
      </c>
      <c r="H54" s="4">
        <f t="shared" si="2"/>
        <v>0.4375</v>
      </c>
      <c r="I54" s="2">
        <v>1</v>
      </c>
    </row>
    <row r="55" spans="1:9" x14ac:dyDescent="0.35">
      <c r="A55" s="1" t="s">
        <v>112</v>
      </c>
      <c r="B55" s="10" t="s">
        <v>81</v>
      </c>
      <c r="C55" s="7">
        <v>240</v>
      </c>
      <c r="D55" s="3">
        <f t="shared" si="1"/>
        <v>4</v>
      </c>
      <c r="E55" s="3" t="s">
        <v>110</v>
      </c>
      <c r="F55" s="3"/>
      <c r="G55" s="4">
        <v>0.25</v>
      </c>
      <c r="H55" s="4">
        <f t="shared" si="2"/>
        <v>0.4375</v>
      </c>
      <c r="I55" s="2">
        <v>1</v>
      </c>
    </row>
    <row r="56" spans="1:9" x14ac:dyDescent="0.35">
      <c r="A56" s="1" t="s">
        <v>114</v>
      </c>
      <c r="B56" s="10" t="s">
        <v>83</v>
      </c>
      <c r="C56" s="7">
        <v>180</v>
      </c>
      <c r="D56" s="3">
        <f t="shared" si="1"/>
        <v>3</v>
      </c>
      <c r="E56" s="3" t="s">
        <v>112</v>
      </c>
      <c r="F56" s="3"/>
      <c r="G56" s="4">
        <v>0.25</v>
      </c>
      <c r="H56" s="4">
        <f t="shared" si="2"/>
        <v>0.4375</v>
      </c>
      <c r="I56" s="2">
        <v>1</v>
      </c>
    </row>
    <row r="57" spans="1:9" x14ac:dyDescent="0.35">
      <c r="A57" s="1" t="s">
        <v>116</v>
      </c>
      <c r="B57" s="10" t="s">
        <v>202</v>
      </c>
      <c r="C57" s="7">
        <v>50</v>
      </c>
      <c r="D57" s="3">
        <f t="shared" si="1"/>
        <v>0.83333333333333337</v>
      </c>
      <c r="E57" s="3" t="s">
        <v>169</v>
      </c>
      <c r="F57" s="3"/>
      <c r="G57" s="4">
        <v>0.25</v>
      </c>
      <c r="H57" s="4">
        <f t="shared" si="2"/>
        <v>0.4375</v>
      </c>
      <c r="I57" s="2">
        <v>1</v>
      </c>
    </row>
    <row r="58" spans="1:9" x14ac:dyDescent="0.35">
      <c r="A58" s="1" t="s">
        <v>118</v>
      </c>
      <c r="B58" s="10" t="s">
        <v>203</v>
      </c>
      <c r="C58" s="7">
        <v>180</v>
      </c>
      <c r="D58" s="3">
        <f t="shared" si="1"/>
        <v>3</v>
      </c>
      <c r="E58" s="3" t="s">
        <v>102</v>
      </c>
      <c r="F58" s="3"/>
      <c r="G58" s="4">
        <v>0.5</v>
      </c>
      <c r="H58" s="4">
        <f t="shared" si="2"/>
        <v>0.875</v>
      </c>
      <c r="I58" s="2">
        <v>1</v>
      </c>
    </row>
    <row r="59" spans="1:9" x14ac:dyDescent="0.35">
      <c r="A59" s="1" t="s">
        <v>120</v>
      </c>
      <c r="B59" s="10" t="s">
        <v>87</v>
      </c>
      <c r="C59" s="7">
        <v>180</v>
      </c>
      <c r="D59" s="3">
        <f t="shared" si="1"/>
        <v>3</v>
      </c>
      <c r="E59" s="3" t="s">
        <v>118</v>
      </c>
      <c r="F59" s="3"/>
      <c r="G59" s="4">
        <v>0.5</v>
      </c>
      <c r="H59" s="4">
        <f t="shared" si="2"/>
        <v>0.875</v>
      </c>
      <c r="I59" s="2">
        <v>0</v>
      </c>
    </row>
    <row r="60" spans="1:9" x14ac:dyDescent="0.35">
      <c r="A60" s="1" t="s">
        <v>122</v>
      </c>
      <c r="B60" s="10" t="s">
        <v>89</v>
      </c>
      <c r="C60" s="7">
        <v>180</v>
      </c>
      <c r="D60" s="3">
        <f t="shared" si="1"/>
        <v>3</v>
      </c>
      <c r="E60" s="3"/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5">
      <c r="A61" s="1" t="s">
        <v>124</v>
      </c>
      <c r="B61" s="10" t="s">
        <v>91</v>
      </c>
      <c r="C61" s="7">
        <v>180</v>
      </c>
      <c r="D61" s="3">
        <f t="shared" si="1"/>
        <v>3</v>
      </c>
      <c r="E61" s="3" t="s">
        <v>90</v>
      </c>
      <c r="F61" s="3"/>
      <c r="G61" s="4">
        <f>1/6</f>
        <v>0.16666666666666666</v>
      </c>
      <c r="H61" s="4">
        <f t="shared" si="2"/>
        <v>0.29166666666666663</v>
      </c>
      <c r="I61" s="2">
        <v>0</v>
      </c>
    </row>
    <row r="62" spans="1:9" x14ac:dyDescent="0.35">
      <c r="A62" s="1" t="s">
        <v>126</v>
      </c>
      <c r="B62" s="10" t="s">
        <v>204</v>
      </c>
      <c r="C62" s="7">
        <v>180</v>
      </c>
      <c r="D62" s="3">
        <f t="shared" si="1"/>
        <v>3</v>
      </c>
      <c r="E62" s="3" t="s">
        <v>90</v>
      </c>
      <c r="F62" s="3"/>
      <c r="G62" s="4">
        <f>1/6</f>
        <v>0.16666666666666666</v>
      </c>
      <c r="H62" s="4">
        <f t="shared" si="2"/>
        <v>0.29166666666666663</v>
      </c>
      <c r="I62" s="2">
        <v>0</v>
      </c>
    </row>
    <row r="63" spans="1:9" x14ac:dyDescent="0.35">
      <c r="A63" s="1" t="s">
        <v>128</v>
      </c>
      <c r="B63" s="10" t="s">
        <v>93</v>
      </c>
      <c r="C63" s="7">
        <v>150</v>
      </c>
      <c r="D63" s="3">
        <f t="shared" si="1"/>
        <v>2.5</v>
      </c>
      <c r="E63" s="3" t="s">
        <v>122</v>
      </c>
      <c r="F63" s="3"/>
      <c r="G63" s="4">
        <f>1/6</f>
        <v>0.16666666666666666</v>
      </c>
      <c r="H63" s="4">
        <f t="shared" si="2"/>
        <v>0.29166666666666663</v>
      </c>
      <c r="I63" s="2">
        <v>1</v>
      </c>
    </row>
    <row r="64" spans="1:9" x14ac:dyDescent="0.35">
      <c r="A64" s="1" t="s">
        <v>130</v>
      </c>
      <c r="B64" s="10" t="s">
        <v>205</v>
      </c>
      <c r="C64" s="7">
        <v>120</v>
      </c>
      <c r="D64" s="3">
        <f t="shared" si="1"/>
        <v>2</v>
      </c>
      <c r="E64" s="3" t="s">
        <v>170</v>
      </c>
      <c r="F64" s="3"/>
      <c r="G64" s="4">
        <f>1/6</f>
        <v>0.16666666666666666</v>
      </c>
      <c r="H64" s="4">
        <f t="shared" si="2"/>
        <v>0.29166666666666663</v>
      </c>
      <c r="I64" s="2">
        <v>0</v>
      </c>
    </row>
    <row r="65" spans="1:9" x14ac:dyDescent="0.35">
      <c r="A65" s="1" t="s">
        <v>132</v>
      </c>
      <c r="B65" s="10" t="s">
        <v>95</v>
      </c>
      <c r="C65" s="7">
        <v>150</v>
      </c>
      <c r="D65" s="3">
        <f t="shared" si="1"/>
        <v>2.5</v>
      </c>
      <c r="E65" s="3" t="s">
        <v>170</v>
      </c>
      <c r="F65" s="3"/>
      <c r="G65" s="4">
        <v>0.5</v>
      </c>
      <c r="H65" s="4">
        <f t="shared" si="2"/>
        <v>0.875</v>
      </c>
      <c r="I65" s="2">
        <v>0</v>
      </c>
    </row>
    <row r="66" spans="1:9" x14ac:dyDescent="0.35">
      <c r="A66" s="1" t="s">
        <v>134</v>
      </c>
      <c r="B66" s="10" t="s">
        <v>97</v>
      </c>
      <c r="C66" s="7">
        <v>180</v>
      </c>
      <c r="D66" s="3">
        <f t="shared" si="1"/>
        <v>3</v>
      </c>
      <c r="E66" s="3" t="s">
        <v>132</v>
      </c>
      <c r="F66" s="3"/>
      <c r="G66" s="4">
        <v>0.5</v>
      </c>
      <c r="H66" s="4">
        <f t="shared" si="2"/>
        <v>0.875</v>
      </c>
      <c r="I66" s="2">
        <v>0</v>
      </c>
    </row>
    <row r="67" spans="1:9" x14ac:dyDescent="0.35">
      <c r="A67" s="1" t="s">
        <v>136</v>
      </c>
      <c r="B67" s="10" t="s">
        <v>99</v>
      </c>
      <c r="C67" s="7">
        <v>150</v>
      </c>
      <c r="D67" s="3">
        <f t="shared" si="1"/>
        <v>2.5</v>
      </c>
      <c r="E67" s="3"/>
      <c r="F67" s="3"/>
      <c r="G67" s="4">
        <f>1/6</f>
        <v>0.16666666666666666</v>
      </c>
      <c r="H67" s="4">
        <f t="shared" si="2"/>
        <v>0.29166666666666663</v>
      </c>
      <c r="I67" s="2">
        <v>0</v>
      </c>
    </row>
    <row r="68" spans="1:9" x14ac:dyDescent="0.35">
      <c r="A68" s="1" t="s">
        <v>138</v>
      </c>
      <c r="B68" s="10" t="s">
        <v>101</v>
      </c>
      <c r="C68" s="7">
        <v>240</v>
      </c>
      <c r="D68" s="3">
        <f t="shared" si="1"/>
        <v>4</v>
      </c>
      <c r="E68" s="3" t="s">
        <v>118</v>
      </c>
      <c r="F68" s="3"/>
      <c r="G68" s="4">
        <f t="shared" ref="G68:G74" si="4">1/3</f>
        <v>0.33333333333333331</v>
      </c>
      <c r="H68" s="4">
        <f t="shared" si="2"/>
        <v>0.58333333333333326</v>
      </c>
      <c r="I68" s="2">
        <v>0</v>
      </c>
    </row>
    <row r="69" spans="1:9" x14ac:dyDescent="0.35">
      <c r="A69" s="1" t="s">
        <v>140</v>
      </c>
      <c r="B69" s="10" t="s">
        <v>103</v>
      </c>
      <c r="C69" s="7">
        <v>240</v>
      </c>
      <c r="D69" s="3">
        <f t="shared" si="1"/>
        <v>4</v>
      </c>
      <c r="E69" s="3" t="s">
        <v>118</v>
      </c>
      <c r="F69" s="3"/>
      <c r="G69" s="4">
        <f t="shared" si="4"/>
        <v>0.33333333333333331</v>
      </c>
      <c r="H69" s="4">
        <f t="shared" si="2"/>
        <v>0.58333333333333326</v>
      </c>
      <c r="I69" s="2">
        <v>0</v>
      </c>
    </row>
    <row r="70" spans="1:9" x14ac:dyDescent="0.35">
      <c r="A70" s="1" t="s">
        <v>142</v>
      </c>
      <c r="B70" s="10" t="s">
        <v>105</v>
      </c>
      <c r="C70" s="7">
        <v>120</v>
      </c>
      <c r="D70" s="3">
        <f t="shared" si="1"/>
        <v>2</v>
      </c>
      <c r="E70" s="3" t="s">
        <v>132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5">
      <c r="A71" s="1" t="s">
        <v>144</v>
      </c>
      <c r="B71" s="10" t="s">
        <v>107</v>
      </c>
      <c r="C71" s="7">
        <v>240</v>
      </c>
      <c r="D71" s="3">
        <f t="shared" si="1"/>
        <v>4</v>
      </c>
      <c r="E71" s="3"/>
      <c r="F71" s="3"/>
      <c r="G71" s="4">
        <f t="shared" si="4"/>
        <v>0.33333333333333331</v>
      </c>
      <c r="H71" s="4">
        <f t="shared" si="2"/>
        <v>0.58333333333333326</v>
      </c>
      <c r="I71" s="2">
        <v>0</v>
      </c>
    </row>
    <row r="72" spans="1:9" x14ac:dyDescent="0.35">
      <c r="A72" s="1" t="s">
        <v>146</v>
      </c>
      <c r="B72" s="10" t="s">
        <v>109</v>
      </c>
      <c r="C72" s="7">
        <v>180</v>
      </c>
      <c r="D72" s="3">
        <f t="shared" si="1"/>
        <v>3</v>
      </c>
      <c r="E72" s="3" t="s">
        <v>138</v>
      </c>
      <c r="F72" s="3"/>
      <c r="G72" s="4">
        <f t="shared" si="4"/>
        <v>0.33333333333333331</v>
      </c>
      <c r="H72" s="4">
        <f t="shared" si="2"/>
        <v>0.58333333333333326</v>
      </c>
      <c r="I72" s="2">
        <v>1</v>
      </c>
    </row>
    <row r="73" spans="1:9" x14ac:dyDescent="0.35">
      <c r="A73" s="1" t="s">
        <v>148</v>
      </c>
      <c r="B73" s="10" t="s">
        <v>111</v>
      </c>
      <c r="C73" s="7">
        <v>150</v>
      </c>
      <c r="D73" s="3">
        <f t="shared" si="1"/>
        <v>2.5</v>
      </c>
      <c r="E73" s="3" t="s">
        <v>142</v>
      </c>
      <c r="F73" s="3"/>
      <c r="G73" s="4">
        <f t="shared" si="4"/>
        <v>0.33333333333333331</v>
      </c>
      <c r="H73" s="4">
        <f t="shared" si="2"/>
        <v>0.58333333333333326</v>
      </c>
      <c r="I73" s="2">
        <v>1</v>
      </c>
    </row>
    <row r="74" spans="1:9" x14ac:dyDescent="0.35">
      <c r="A74" s="1" t="s">
        <v>150</v>
      </c>
      <c r="B74" s="10" t="s">
        <v>113</v>
      </c>
      <c r="C74" s="7">
        <v>180</v>
      </c>
      <c r="D74" s="3">
        <f t="shared" si="1"/>
        <v>3</v>
      </c>
      <c r="E74" s="3" t="s">
        <v>148</v>
      </c>
      <c r="F74" s="3"/>
      <c r="G74" s="4">
        <f t="shared" si="4"/>
        <v>0.33333333333333331</v>
      </c>
      <c r="H74" s="4">
        <f t="shared" si="2"/>
        <v>0.58333333333333326</v>
      </c>
      <c r="I74" s="2">
        <v>0</v>
      </c>
    </row>
    <row r="75" spans="1:9" x14ac:dyDescent="0.35">
      <c r="A75" s="1" t="s">
        <v>152</v>
      </c>
      <c r="B75" s="10" t="s">
        <v>115</v>
      </c>
      <c r="C75" s="7">
        <v>240</v>
      </c>
      <c r="D75" s="3">
        <f t="shared" ref="D75:D80" si="5">C75/60</f>
        <v>4</v>
      </c>
      <c r="E75" s="8" t="s">
        <v>173</v>
      </c>
      <c r="F75" s="3"/>
      <c r="G75" s="4">
        <v>0.5</v>
      </c>
      <c r="H75" s="4">
        <f t="shared" ref="H75:H79" si="6">G75*1.75</f>
        <v>0.875</v>
      </c>
      <c r="I75" s="2">
        <v>0</v>
      </c>
    </row>
    <row r="76" spans="1:9" x14ac:dyDescent="0.35">
      <c r="A76" s="1" t="s">
        <v>154</v>
      </c>
      <c r="B76" s="10" t="s">
        <v>117</v>
      </c>
      <c r="C76" s="7">
        <v>180</v>
      </c>
      <c r="D76" s="3">
        <f t="shared" si="5"/>
        <v>3</v>
      </c>
      <c r="E76" s="3"/>
      <c r="F76" s="3"/>
      <c r="G76" s="4">
        <v>0.5</v>
      </c>
      <c r="H76" s="4">
        <f t="shared" si="6"/>
        <v>0.875</v>
      </c>
      <c r="I76" s="2">
        <v>1</v>
      </c>
    </row>
    <row r="77" spans="1:9" x14ac:dyDescent="0.35">
      <c r="A77" s="1" t="s">
        <v>159</v>
      </c>
      <c r="B77" s="10" t="s">
        <v>119</v>
      </c>
      <c r="C77" s="7">
        <v>180</v>
      </c>
      <c r="D77" s="3">
        <f t="shared" si="5"/>
        <v>3</v>
      </c>
      <c r="E77" s="3" t="s">
        <v>146</v>
      </c>
      <c r="F77" s="3"/>
      <c r="G77" s="4">
        <v>0.5</v>
      </c>
      <c r="H77" s="4">
        <f t="shared" si="6"/>
        <v>0.875</v>
      </c>
      <c r="I77" s="2">
        <v>0</v>
      </c>
    </row>
    <row r="78" spans="1:9" x14ac:dyDescent="0.35">
      <c r="A78" s="1" t="s">
        <v>160</v>
      </c>
      <c r="B78" s="10" t="s">
        <v>121</v>
      </c>
      <c r="C78" s="7">
        <v>240</v>
      </c>
      <c r="D78" s="3">
        <f t="shared" si="5"/>
        <v>4</v>
      </c>
      <c r="E78" s="3" t="s">
        <v>171</v>
      </c>
      <c r="F78" s="3"/>
      <c r="G78" s="4">
        <v>1</v>
      </c>
      <c r="H78" s="4">
        <f t="shared" si="6"/>
        <v>1.75</v>
      </c>
      <c r="I78" s="2">
        <v>0</v>
      </c>
    </row>
    <row r="79" spans="1:9" x14ac:dyDescent="0.35">
      <c r="A79" s="1" t="s">
        <v>161</v>
      </c>
      <c r="B79" s="10" t="s">
        <v>125</v>
      </c>
      <c r="C79" s="7">
        <v>510</v>
      </c>
      <c r="D79" s="3">
        <f t="shared" si="5"/>
        <v>8.5</v>
      </c>
      <c r="E79" s="3" t="s">
        <v>172</v>
      </c>
      <c r="F79" s="3"/>
      <c r="G79" s="4">
        <v>0.5</v>
      </c>
      <c r="H79" s="4">
        <f t="shared" si="6"/>
        <v>0.875</v>
      </c>
      <c r="I79" s="2">
        <v>0</v>
      </c>
    </row>
    <row r="80" spans="1:9" x14ac:dyDescent="0.35">
      <c r="A80" s="1" t="s">
        <v>162</v>
      </c>
      <c r="B80" s="10" t="s">
        <v>127</v>
      </c>
      <c r="C80" s="7">
        <v>300</v>
      </c>
      <c r="D80" s="3">
        <f t="shared" si="5"/>
        <v>5</v>
      </c>
      <c r="E80" s="3"/>
      <c r="F80" s="3"/>
      <c r="G80" s="4">
        <v>0.5</v>
      </c>
      <c r="H80" s="4">
        <f>G80*1.75</f>
        <v>0.875</v>
      </c>
      <c r="I80" s="2">
        <v>0</v>
      </c>
    </row>
    <row r="81" spans="1:9" x14ac:dyDescent="0.35">
      <c r="A81" s="1" t="s">
        <v>211</v>
      </c>
      <c r="B81" s="10" t="s">
        <v>131</v>
      </c>
      <c r="G81" s="4">
        <f>SUM(G10:G80)</f>
        <v>20.999999999999996</v>
      </c>
      <c r="H81" s="4">
        <f>SUM(H10:H80)</f>
        <v>36.749999999999993</v>
      </c>
      <c r="I81" s="2"/>
    </row>
    <row r="82" spans="1:9" x14ac:dyDescent="0.35">
      <c r="A82" s="1" t="s">
        <v>212</v>
      </c>
      <c r="B82" s="10" t="s">
        <v>133</v>
      </c>
    </row>
    <row r="83" spans="1:9" x14ac:dyDescent="0.35">
      <c r="A83" s="1" t="s">
        <v>213</v>
      </c>
      <c r="B83" s="10" t="s">
        <v>135</v>
      </c>
    </row>
    <row r="84" spans="1:9" x14ac:dyDescent="0.35">
      <c r="A84" s="1" t="s">
        <v>214</v>
      </c>
      <c r="B84" s="10" t="s">
        <v>185</v>
      </c>
    </row>
    <row r="85" spans="1:9" x14ac:dyDescent="0.35">
      <c r="A85" s="1" t="s">
        <v>215</v>
      </c>
      <c r="B85" s="11" t="s">
        <v>137</v>
      </c>
    </row>
    <row r="86" spans="1:9" x14ac:dyDescent="0.35">
      <c r="A86" s="1" t="s">
        <v>216</v>
      </c>
      <c r="B86" s="10" t="s">
        <v>206</v>
      </c>
    </row>
    <row r="87" spans="1:9" x14ac:dyDescent="0.35">
      <c r="A87" s="1" t="s">
        <v>217</v>
      </c>
      <c r="B87" s="10" t="s">
        <v>61</v>
      </c>
    </row>
    <row r="88" spans="1:9" x14ac:dyDescent="0.35">
      <c r="A88" s="1" t="s">
        <v>218</v>
      </c>
      <c r="B88" s="10" t="s">
        <v>207</v>
      </c>
    </row>
    <row r="89" spans="1:9" x14ac:dyDescent="0.35">
      <c r="A89" s="1" t="s">
        <v>219</v>
      </c>
      <c r="B89" s="10" t="s">
        <v>208</v>
      </c>
    </row>
    <row r="90" spans="1:9" x14ac:dyDescent="0.35">
      <c r="A90" s="1" t="s">
        <v>220</v>
      </c>
      <c r="B90" s="10" t="s">
        <v>143</v>
      </c>
    </row>
    <row r="91" spans="1:9" x14ac:dyDescent="0.35">
      <c r="A91" s="1" t="s">
        <v>221</v>
      </c>
      <c r="B91" s="10" t="s">
        <v>143</v>
      </c>
    </row>
    <row r="92" spans="1:9" x14ac:dyDescent="0.35">
      <c r="A92" s="1" t="s">
        <v>222</v>
      </c>
      <c r="B92" s="10" t="s">
        <v>209</v>
      </c>
    </row>
    <row r="93" spans="1:9" x14ac:dyDescent="0.35">
      <c r="A93" s="1" t="s">
        <v>223</v>
      </c>
      <c r="B93" s="10" t="s">
        <v>145</v>
      </c>
    </row>
    <row r="94" spans="1:9" x14ac:dyDescent="0.35">
      <c r="A94" s="1" t="s">
        <v>224</v>
      </c>
      <c r="B94" s="10" t="s">
        <v>188</v>
      </c>
    </row>
    <row r="95" spans="1:9" x14ac:dyDescent="0.35">
      <c r="A95" s="1" t="s">
        <v>225</v>
      </c>
      <c r="B95" s="10" t="s">
        <v>210</v>
      </c>
    </row>
    <row r="96" spans="1:9" x14ac:dyDescent="0.35">
      <c r="A96" s="1" t="s">
        <v>226</v>
      </c>
      <c r="B96" s="10" t="s">
        <v>151</v>
      </c>
    </row>
    <row r="97" spans="1:2" x14ac:dyDescent="0.35">
      <c r="A97" s="1" t="s">
        <v>227</v>
      </c>
      <c r="B97" s="10" t="s">
        <v>153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32EE-7B0E-4867-AD47-1F2CBDD6CB6B}">
  <dimension ref="A2:L92"/>
  <sheetViews>
    <sheetView workbookViewId="0">
      <selection sqref="A1:XFD1048576"/>
    </sheetView>
  </sheetViews>
  <sheetFormatPr defaultRowHeight="14.5" x14ac:dyDescent="0.35"/>
  <cols>
    <col min="1" max="1" width="8.90625" style="1" bestFit="1" customWidth="1"/>
    <col min="2" max="2" width="22.1796875" style="1" bestFit="1" customWidth="1"/>
    <col min="3" max="3" width="16.36328125" style="1" bestFit="1" customWidth="1"/>
    <col min="4" max="4" width="16.36328125" style="6" bestFit="1" customWidth="1"/>
    <col min="5" max="5" width="33.453125" style="6" customWidth="1"/>
    <col min="6" max="6" width="12.6328125" style="6" customWidth="1"/>
    <col min="7" max="8" width="14.7265625" style="6" bestFit="1" customWidth="1"/>
    <col min="9" max="9" width="14.7265625" style="1" bestFit="1" customWidth="1"/>
    <col min="10" max="11" width="8.7265625" style="1"/>
    <col min="12" max="12" width="15.90625" style="1" bestFit="1" customWidth="1"/>
    <col min="13" max="16384" width="8.7265625" style="1"/>
  </cols>
  <sheetData>
    <row r="2" spans="1:12" x14ac:dyDescent="0.35">
      <c r="B2" s="2" t="s">
        <v>0</v>
      </c>
      <c r="C2" s="2" t="s">
        <v>230</v>
      </c>
    </row>
    <row r="3" spans="1:12" x14ac:dyDescent="0.35">
      <c r="D3" s="1"/>
      <c r="E3" s="1"/>
      <c r="F3" s="1"/>
    </row>
    <row r="4" spans="1:12" ht="15" customHeight="1" x14ac:dyDescent="0.35">
      <c r="A4" s="1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8</v>
      </c>
      <c r="I4" s="5" t="s">
        <v>9</v>
      </c>
    </row>
    <row r="5" spans="1:12" ht="15" customHeight="1" x14ac:dyDescent="0.35">
      <c r="A5" s="1" t="s">
        <v>10</v>
      </c>
      <c r="B5" s="2"/>
      <c r="C5" s="3">
        <f>SUM(C6:C80)</f>
        <v>12140</v>
      </c>
      <c r="D5" s="3">
        <f>SUM(D6:D80)</f>
        <v>202.33333333333331</v>
      </c>
      <c r="E5" s="3"/>
      <c r="F5" s="3"/>
      <c r="G5" s="3">
        <f>SUM(G10:G80)</f>
        <v>20.999999999999996</v>
      </c>
      <c r="H5" s="4">
        <f>SUM(H10:H80)</f>
        <v>36.749999999999993</v>
      </c>
      <c r="I5" s="2"/>
    </row>
    <row r="6" spans="1:12" ht="15" customHeight="1" x14ac:dyDescent="0.35">
      <c r="A6" s="1" t="s">
        <v>11</v>
      </c>
      <c r="B6" s="9" t="s">
        <v>155</v>
      </c>
      <c r="C6" s="7">
        <v>150</v>
      </c>
      <c r="D6" s="3">
        <f t="shared" ref="D6:D9" si="0">C6/60</f>
        <v>2.5</v>
      </c>
      <c r="E6" s="3"/>
      <c r="F6" s="3"/>
      <c r="G6" s="3"/>
      <c r="H6" s="4"/>
      <c r="I6" s="2"/>
    </row>
    <row r="7" spans="1:12" ht="15" customHeight="1" x14ac:dyDescent="0.35">
      <c r="A7" s="1" t="s">
        <v>13</v>
      </c>
      <c r="B7" s="9" t="s">
        <v>156</v>
      </c>
      <c r="C7" s="7">
        <v>180</v>
      </c>
      <c r="D7" s="3">
        <f t="shared" si="0"/>
        <v>3</v>
      </c>
      <c r="E7" s="3"/>
      <c r="F7" s="3"/>
      <c r="G7" s="3"/>
      <c r="H7" s="4"/>
      <c r="I7" s="2"/>
    </row>
    <row r="8" spans="1:12" ht="15" customHeight="1" x14ac:dyDescent="0.35">
      <c r="A8" s="1" t="s">
        <v>16</v>
      </c>
      <c r="B8" s="9" t="s">
        <v>157</v>
      </c>
      <c r="C8" s="7">
        <v>180</v>
      </c>
      <c r="D8" s="3">
        <f t="shared" si="0"/>
        <v>3</v>
      </c>
      <c r="E8" s="3"/>
      <c r="F8" s="3"/>
      <c r="G8" s="3"/>
      <c r="H8" s="4"/>
      <c r="I8" s="2"/>
    </row>
    <row r="9" spans="1:12" ht="15" customHeight="1" x14ac:dyDescent="0.35">
      <c r="A9" s="1" t="s">
        <v>19</v>
      </c>
      <c r="B9" s="9" t="s">
        <v>158</v>
      </c>
      <c r="C9" s="7">
        <v>180</v>
      </c>
      <c r="D9" s="3">
        <f t="shared" si="0"/>
        <v>3</v>
      </c>
      <c r="E9" s="3"/>
      <c r="F9" s="3"/>
      <c r="G9" s="3"/>
      <c r="H9" s="4"/>
      <c r="I9" s="2"/>
    </row>
    <row r="10" spans="1:12" ht="14.5" customHeight="1" x14ac:dyDescent="0.35">
      <c r="A10" s="1" t="s">
        <v>22</v>
      </c>
      <c r="B10" s="10" t="s">
        <v>12</v>
      </c>
      <c r="C10" s="7">
        <v>100</v>
      </c>
      <c r="D10" s="3">
        <f>C10/60</f>
        <v>1.6666666666666667</v>
      </c>
      <c r="E10" s="3"/>
      <c r="F10" s="3"/>
      <c r="G10" s="4">
        <f>1/6</f>
        <v>0.16666666666666666</v>
      </c>
      <c r="H10" s="4">
        <f>G10*1.75</f>
        <v>0.29166666666666663</v>
      </c>
      <c r="I10" s="2">
        <v>0</v>
      </c>
    </row>
    <row r="11" spans="1:12" x14ac:dyDescent="0.35">
      <c r="A11" s="1" t="s">
        <v>24</v>
      </c>
      <c r="B11" s="10" t="s">
        <v>14</v>
      </c>
      <c r="C11" s="7">
        <v>120</v>
      </c>
      <c r="D11" s="3">
        <f t="shared" ref="D11:D74" si="1">C11/60</f>
        <v>2</v>
      </c>
      <c r="E11" s="3"/>
      <c r="F11" s="3"/>
      <c r="G11" s="4">
        <f>1/6</f>
        <v>0.16666666666666666</v>
      </c>
      <c r="H11" s="4">
        <f t="shared" ref="H11:H74" si="2">G11*1.75</f>
        <v>0.29166666666666663</v>
      </c>
      <c r="I11" s="2">
        <v>0</v>
      </c>
      <c r="L11" s="1" t="s">
        <v>15</v>
      </c>
    </row>
    <row r="12" spans="1:12" x14ac:dyDescent="0.35">
      <c r="A12" s="1" t="s">
        <v>26</v>
      </c>
      <c r="B12" s="10" t="s">
        <v>17</v>
      </c>
      <c r="C12" s="7">
        <v>60</v>
      </c>
      <c r="D12" s="3">
        <f>C12/60</f>
        <v>1</v>
      </c>
      <c r="E12" s="3"/>
      <c r="F12" s="3"/>
      <c r="G12" s="4">
        <f>1/6</f>
        <v>0.16666666666666666</v>
      </c>
      <c r="H12" s="4">
        <f>G12*1.75</f>
        <v>0.29166666666666663</v>
      </c>
      <c r="I12" s="2">
        <v>0</v>
      </c>
      <c r="L12" s="1" t="s">
        <v>21</v>
      </c>
    </row>
    <row r="13" spans="1:12" x14ac:dyDescent="0.35">
      <c r="A13" s="1" t="s">
        <v>28</v>
      </c>
      <c r="B13" s="10" t="s">
        <v>174</v>
      </c>
      <c r="C13" s="7">
        <v>30</v>
      </c>
      <c r="D13" s="3">
        <f t="shared" si="1"/>
        <v>0.5</v>
      </c>
      <c r="E13" s="3"/>
      <c r="F13" s="3"/>
      <c r="G13" s="4">
        <f>1/6</f>
        <v>0.16666666666666666</v>
      </c>
      <c r="H13" s="4">
        <f t="shared" si="2"/>
        <v>0.29166666666666663</v>
      </c>
      <c r="I13" s="2">
        <v>0</v>
      </c>
      <c r="L13" s="1" t="s">
        <v>18</v>
      </c>
    </row>
    <row r="14" spans="1:12" x14ac:dyDescent="0.35">
      <c r="A14" s="1" t="s">
        <v>30</v>
      </c>
      <c r="B14" s="10" t="s">
        <v>20</v>
      </c>
      <c r="C14" s="7">
        <v>60</v>
      </c>
      <c r="D14" s="3">
        <f t="shared" si="1"/>
        <v>1</v>
      </c>
      <c r="E14" s="3"/>
      <c r="F14" s="3"/>
      <c r="G14" s="4">
        <f>1/6</f>
        <v>0.16666666666666666</v>
      </c>
      <c r="H14" s="4">
        <f t="shared" si="2"/>
        <v>0.29166666666666663</v>
      </c>
      <c r="I14" s="2">
        <v>0</v>
      </c>
    </row>
    <row r="15" spans="1:12" x14ac:dyDescent="0.35">
      <c r="A15" s="1" t="s">
        <v>32</v>
      </c>
      <c r="B15" s="10" t="s">
        <v>189</v>
      </c>
      <c r="C15" s="7">
        <v>30</v>
      </c>
      <c r="D15" s="3">
        <f t="shared" si="1"/>
        <v>0.5</v>
      </c>
      <c r="E15" s="8" t="s">
        <v>26</v>
      </c>
      <c r="F15" s="3"/>
      <c r="G15" s="4">
        <f>1/8</f>
        <v>0.125</v>
      </c>
      <c r="H15" s="4">
        <f t="shared" si="2"/>
        <v>0.21875</v>
      </c>
      <c r="I15" s="2">
        <v>0</v>
      </c>
    </row>
    <row r="16" spans="1:12" x14ac:dyDescent="0.35">
      <c r="A16" s="1" t="s">
        <v>34</v>
      </c>
      <c r="B16" s="10" t="s">
        <v>175</v>
      </c>
      <c r="C16" s="7">
        <v>150</v>
      </c>
      <c r="D16" s="3">
        <f t="shared" si="1"/>
        <v>2.5</v>
      </c>
      <c r="E16" s="3"/>
      <c r="F16" s="3"/>
      <c r="G16" s="4">
        <f>1/8</f>
        <v>0.125</v>
      </c>
      <c r="H16" s="4">
        <f t="shared" si="2"/>
        <v>0.21875</v>
      </c>
      <c r="I16" s="2">
        <v>1</v>
      </c>
    </row>
    <row r="17" spans="1:9" x14ac:dyDescent="0.35">
      <c r="A17" s="1" t="s">
        <v>36</v>
      </c>
      <c r="B17" s="10" t="s">
        <v>176</v>
      </c>
      <c r="C17" s="7">
        <v>180</v>
      </c>
      <c r="D17" s="3">
        <f t="shared" si="1"/>
        <v>3</v>
      </c>
      <c r="E17" s="3" t="s">
        <v>163</v>
      </c>
      <c r="F17" s="3"/>
      <c r="G17" s="4">
        <f>1/8</f>
        <v>0.125</v>
      </c>
      <c r="H17" s="4">
        <f t="shared" si="2"/>
        <v>0.21875</v>
      </c>
      <c r="I17" s="2">
        <v>1</v>
      </c>
    </row>
    <row r="18" spans="1:9" x14ac:dyDescent="0.35">
      <c r="A18" s="1" t="s">
        <v>38</v>
      </c>
      <c r="B18" s="10" t="s">
        <v>177</v>
      </c>
      <c r="C18" s="7">
        <v>180</v>
      </c>
      <c r="D18" s="3">
        <f t="shared" si="1"/>
        <v>3</v>
      </c>
      <c r="E18" s="3"/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x14ac:dyDescent="0.35">
      <c r="A19" s="1" t="s">
        <v>40</v>
      </c>
      <c r="B19" s="10" t="s">
        <v>231</v>
      </c>
      <c r="C19" s="7">
        <v>180</v>
      </c>
      <c r="D19" s="3">
        <f t="shared" si="1"/>
        <v>3</v>
      </c>
      <c r="E19" s="3" t="s">
        <v>164</v>
      </c>
      <c r="F19" s="3"/>
      <c r="G19" s="4">
        <f>1/2</f>
        <v>0.5</v>
      </c>
      <c r="H19" s="4">
        <f t="shared" si="2"/>
        <v>0.875</v>
      </c>
      <c r="I19" s="2">
        <v>1</v>
      </c>
    </row>
    <row r="20" spans="1:9" x14ac:dyDescent="0.35">
      <c r="A20" s="1" t="s">
        <v>42</v>
      </c>
      <c r="B20" s="10" t="s">
        <v>178</v>
      </c>
      <c r="C20" s="7">
        <v>60</v>
      </c>
      <c r="D20" s="3">
        <f t="shared" si="1"/>
        <v>1</v>
      </c>
      <c r="E20" s="3" t="s">
        <v>165</v>
      </c>
      <c r="F20" s="3"/>
      <c r="G20" s="4">
        <f>1/4</f>
        <v>0.25</v>
      </c>
      <c r="H20" s="4">
        <f t="shared" si="2"/>
        <v>0.4375</v>
      </c>
      <c r="I20" s="2">
        <v>0</v>
      </c>
    </row>
    <row r="21" spans="1:9" x14ac:dyDescent="0.35">
      <c r="A21" s="1" t="s">
        <v>44</v>
      </c>
      <c r="B21" s="10" t="s">
        <v>25</v>
      </c>
      <c r="C21" s="7">
        <v>50</v>
      </c>
      <c r="D21" s="3">
        <f t="shared" si="1"/>
        <v>0.83333333333333337</v>
      </c>
      <c r="E21" s="3" t="s">
        <v>30</v>
      </c>
      <c r="F21" s="3"/>
      <c r="G21" s="4">
        <f>1/8</f>
        <v>0.125</v>
      </c>
      <c r="H21" s="4">
        <f t="shared" si="2"/>
        <v>0.21875</v>
      </c>
      <c r="I21" s="2">
        <v>0</v>
      </c>
    </row>
    <row r="22" spans="1:9" x14ac:dyDescent="0.35">
      <c r="A22" s="1" t="s">
        <v>46</v>
      </c>
      <c r="B22" s="10" t="s">
        <v>29</v>
      </c>
      <c r="C22" s="7">
        <v>30</v>
      </c>
      <c r="D22" s="3">
        <f t="shared" si="1"/>
        <v>0.5</v>
      </c>
      <c r="E22" s="3" t="s">
        <v>36</v>
      </c>
      <c r="F22" s="3"/>
      <c r="G22" s="4">
        <f>1/8</f>
        <v>0.125</v>
      </c>
      <c r="H22" s="4">
        <f t="shared" si="2"/>
        <v>0.21875</v>
      </c>
      <c r="I22" s="2">
        <v>0</v>
      </c>
    </row>
    <row r="23" spans="1:9" ht="14.5" customHeight="1" x14ac:dyDescent="0.35">
      <c r="A23" s="1" t="s">
        <v>48</v>
      </c>
      <c r="B23" s="10" t="s">
        <v>31</v>
      </c>
      <c r="C23" s="7">
        <v>50</v>
      </c>
      <c r="D23" s="3">
        <f t="shared" si="1"/>
        <v>0.83333333333333337</v>
      </c>
      <c r="E23" s="3" t="s">
        <v>165</v>
      </c>
      <c r="F23" s="3"/>
      <c r="G23" s="4">
        <v>0.2</v>
      </c>
      <c r="H23" s="4">
        <f t="shared" si="2"/>
        <v>0.35000000000000003</v>
      </c>
      <c r="I23" s="2">
        <v>0</v>
      </c>
    </row>
    <row r="24" spans="1:9" x14ac:dyDescent="0.35">
      <c r="A24" s="1" t="s">
        <v>50</v>
      </c>
      <c r="B24" s="10" t="s">
        <v>33</v>
      </c>
      <c r="C24" s="7">
        <v>90</v>
      </c>
      <c r="D24" s="3">
        <f t="shared" si="1"/>
        <v>1.5</v>
      </c>
      <c r="E24" s="3" t="s">
        <v>40</v>
      </c>
      <c r="F24" s="3"/>
      <c r="G24" s="4">
        <v>0.5</v>
      </c>
      <c r="H24" s="4">
        <f t="shared" si="2"/>
        <v>0.875</v>
      </c>
      <c r="I24" s="2">
        <v>1</v>
      </c>
    </row>
    <row r="25" spans="1:9" x14ac:dyDescent="0.35">
      <c r="A25" s="1" t="s">
        <v>52</v>
      </c>
      <c r="B25" s="10" t="s">
        <v>35</v>
      </c>
      <c r="C25" s="7">
        <v>120</v>
      </c>
      <c r="D25" s="3">
        <f t="shared" si="1"/>
        <v>2</v>
      </c>
      <c r="E25" s="3" t="s">
        <v>36</v>
      </c>
      <c r="F25" s="3"/>
      <c r="G25" s="4">
        <v>0.3</v>
      </c>
      <c r="H25" s="4">
        <f t="shared" si="2"/>
        <v>0.52500000000000002</v>
      </c>
      <c r="I25" s="2">
        <v>1</v>
      </c>
    </row>
    <row r="26" spans="1:9" ht="14.5" customHeight="1" x14ac:dyDescent="0.35">
      <c r="A26" s="1" t="s">
        <v>54</v>
      </c>
      <c r="B26" s="10" t="s">
        <v>232</v>
      </c>
      <c r="C26" s="7">
        <v>150</v>
      </c>
      <c r="D26" s="3">
        <f t="shared" si="1"/>
        <v>2.5</v>
      </c>
      <c r="E26" s="3" t="s">
        <v>36</v>
      </c>
      <c r="F26" s="3"/>
      <c r="G26" s="4">
        <f>1/3</f>
        <v>0.33333333333333331</v>
      </c>
      <c r="H26" s="4">
        <f t="shared" si="2"/>
        <v>0.58333333333333326</v>
      </c>
      <c r="I26" s="2">
        <v>1</v>
      </c>
    </row>
    <row r="27" spans="1:9" x14ac:dyDescent="0.35">
      <c r="A27" s="1" t="s">
        <v>56</v>
      </c>
      <c r="B27" s="10" t="s">
        <v>190</v>
      </c>
      <c r="C27" s="7">
        <v>120</v>
      </c>
      <c r="D27" s="3">
        <f t="shared" si="1"/>
        <v>2</v>
      </c>
      <c r="E27" s="3" t="s">
        <v>34</v>
      </c>
      <c r="F27" s="3"/>
      <c r="G27" s="4">
        <f>1/3</f>
        <v>0.33333333333333331</v>
      </c>
      <c r="H27" s="4">
        <f t="shared" si="2"/>
        <v>0.58333333333333326</v>
      </c>
      <c r="I27" s="2">
        <v>0</v>
      </c>
    </row>
    <row r="28" spans="1:9" x14ac:dyDescent="0.35">
      <c r="A28" s="1" t="s">
        <v>58</v>
      </c>
      <c r="B28" s="10" t="s">
        <v>39</v>
      </c>
      <c r="C28" s="7">
        <v>120</v>
      </c>
      <c r="D28" s="3">
        <f t="shared" si="1"/>
        <v>2</v>
      </c>
      <c r="E28" s="3" t="s">
        <v>50</v>
      </c>
      <c r="F28" s="3"/>
      <c r="G28" s="4">
        <f>1/3</f>
        <v>0.33333333333333331</v>
      </c>
      <c r="H28" s="4">
        <f t="shared" si="2"/>
        <v>0.58333333333333326</v>
      </c>
      <c r="I28" s="2">
        <v>0</v>
      </c>
    </row>
    <row r="29" spans="1:9" x14ac:dyDescent="0.35">
      <c r="A29" s="1" t="s">
        <v>60</v>
      </c>
      <c r="B29" s="10" t="s">
        <v>41</v>
      </c>
      <c r="C29" s="7">
        <v>240</v>
      </c>
      <c r="D29" s="3">
        <f t="shared" si="1"/>
        <v>4</v>
      </c>
      <c r="E29" s="3"/>
      <c r="F29" s="3"/>
      <c r="G29" s="4">
        <v>0.5</v>
      </c>
      <c r="H29" s="4">
        <f t="shared" si="2"/>
        <v>0.875</v>
      </c>
      <c r="I29" s="2">
        <v>1</v>
      </c>
    </row>
    <row r="30" spans="1:9" x14ac:dyDescent="0.35">
      <c r="A30" s="1" t="s">
        <v>62</v>
      </c>
      <c r="B30" s="10" t="s">
        <v>43</v>
      </c>
      <c r="C30" s="7">
        <v>180</v>
      </c>
      <c r="D30" s="3">
        <f t="shared" si="1"/>
        <v>3</v>
      </c>
      <c r="E30" s="3" t="s">
        <v>36</v>
      </c>
      <c r="F30" s="3"/>
      <c r="G30" s="4">
        <v>0.5</v>
      </c>
      <c r="H30" s="4">
        <f t="shared" si="2"/>
        <v>0.875</v>
      </c>
      <c r="I30" s="2">
        <v>0</v>
      </c>
    </row>
    <row r="31" spans="1:9" ht="15" customHeight="1" x14ac:dyDescent="0.35">
      <c r="A31" s="1" t="s">
        <v>64</v>
      </c>
      <c r="B31" s="10" t="s">
        <v>45</v>
      </c>
      <c r="C31" s="7">
        <v>150</v>
      </c>
      <c r="D31" s="3">
        <f t="shared" si="1"/>
        <v>2.5</v>
      </c>
      <c r="E31" s="3" t="s">
        <v>36</v>
      </c>
      <c r="F31" s="3"/>
      <c r="G31" s="4">
        <v>0.25</v>
      </c>
      <c r="H31" s="4">
        <f t="shared" si="2"/>
        <v>0.4375</v>
      </c>
      <c r="I31" s="2">
        <v>0</v>
      </c>
    </row>
    <row r="32" spans="1:9" x14ac:dyDescent="0.35">
      <c r="A32" s="1" t="s">
        <v>66</v>
      </c>
      <c r="B32" s="10" t="s">
        <v>191</v>
      </c>
      <c r="C32" s="7">
        <v>150</v>
      </c>
      <c r="D32" s="3">
        <f t="shared" si="1"/>
        <v>2.5</v>
      </c>
      <c r="E32" s="3" t="s">
        <v>40</v>
      </c>
      <c r="F32" s="3"/>
      <c r="G32" s="4">
        <v>0.25</v>
      </c>
      <c r="H32" s="4">
        <f t="shared" si="2"/>
        <v>0.4375</v>
      </c>
      <c r="I32" s="2">
        <v>0</v>
      </c>
    </row>
    <row r="33" spans="1:9" x14ac:dyDescent="0.35">
      <c r="A33" s="1" t="s">
        <v>68</v>
      </c>
      <c r="B33" s="10" t="s">
        <v>192</v>
      </c>
      <c r="C33" s="7">
        <v>180</v>
      </c>
      <c r="D33" s="3">
        <f t="shared" si="1"/>
        <v>3</v>
      </c>
      <c r="E33" s="3" t="s">
        <v>40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5">
      <c r="A34" s="1" t="s">
        <v>70</v>
      </c>
      <c r="B34" s="10" t="s">
        <v>193</v>
      </c>
      <c r="C34" s="7">
        <v>180</v>
      </c>
      <c r="D34" s="3">
        <f t="shared" si="1"/>
        <v>3</v>
      </c>
      <c r="E34" s="3" t="s">
        <v>40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5">
      <c r="A35" s="1" t="s">
        <v>72</v>
      </c>
      <c r="B35" s="10" t="s">
        <v>233</v>
      </c>
      <c r="C35" s="7">
        <v>80</v>
      </c>
      <c r="D35" s="3">
        <f t="shared" si="1"/>
        <v>1.3333333333333333</v>
      </c>
      <c r="E35" s="3" t="s">
        <v>40</v>
      </c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x14ac:dyDescent="0.35">
      <c r="A36" s="1" t="s">
        <v>74</v>
      </c>
      <c r="B36" s="10" t="s">
        <v>51</v>
      </c>
      <c r="C36" s="7">
        <v>80</v>
      </c>
      <c r="D36" s="3">
        <f t="shared" si="1"/>
        <v>1.3333333333333333</v>
      </c>
      <c r="E36" s="3" t="s">
        <v>64</v>
      </c>
      <c r="F36" s="3"/>
      <c r="G36" s="4">
        <f>1/3</f>
        <v>0.33333333333333331</v>
      </c>
      <c r="H36" s="4">
        <f t="shared" si="2"/>
        <v>0.58333333333333326</v>
      </c>
      <c r="I36" s="2">
        <v>0</v>
      </c>
    </row>
    <row r="37" spans="1:9" x14ac:dyDescent="0.35">
      <c r="A37" s="1" t="s">
        <v>76</v>
      </c>
      <c r="B37" s="10" t="s">
        <v>194</v>
      </c>
      <c r="C37" s="7">
        <v>80</v>
      </c>
      <c r="D37" s="3">
        <f t="shared" si="1"/>
        <v>1.3333333333333333</v>
      </c>
      <c r="E37" s="3" t="s">
        <v>74</v>
      </c>
      <c r="F37" s="3"/>
      <c r="G37" s="4">
        <f>1/6</f>
        <v>0.16666666666666666</v>
      </c>
      <c r="H37" s="4">
        <f t="shared" si="2"/>
        <v>0.29166666666666663</v>
      </c>
      <c r="I37" s="2">
        <v>0</v>
      </c>
    </row>
    <row r="38" spans="1:9" x14ac:dyDescent="0.35">
      <c r="A38" s="1" t="s">
        <v>78</v>
      </c>
      <c r="B38" s="10" t="s">
        <v>234</v>
      </c>
      <c r="C38" s="7">
        <v>120</v>
      </c>
      <c r="D38" s="3">
        <f t="shared" si="1"/>
        <v>2</v>
      </c>
      <c r="E38" s="3" t="s">
        <v>68</v>
      </c>
      <c r="F38" s="3"/>
      <c r="G38" s="4">
        <f>1/6</f>
        <v>0.16666666666666666</v>
      </c>
      <c r="H38" s="4">
        <f t="shared" si="2"/>
        <v>0.29166666666666663</v>
      </c>
      <c r="I38" s="2">
        <v>0</v>
      </c>
    </row>
    <row r="39" spans="1:9" x14ac:dyDescent="0.35">
      <c r="A39" s="1" t="s">
        <v>80</v>
      </c>
      <c r="B39" s="10" t="s">
        <v>235</v>
      </c>
      <c r="C39" s="7">
        <v>120</v>
      </c>
      <c r="D39" s="3">
        <f t="shared" si="1"/>
        <v>2</v>
      </c>
      <c r="E39" s="3"/>
      <c r="F39" s="3"/>
      <c r="G39" s="4">
        <f>1/6</f>
        <v>0.16666666666666666</v>
      </c>
      <c r="H39" s="4">
        <f t="shared" si="2"/>
        <v>0.29166666666666663</v>
      </c>
      <c r="I39" s="2">
        <v>0</v>
      </c>
    </row>
    <row r="40" spans="1:9" ht="14.5" customHeight="1" x14ac:dyDescent="0.35">
      <c r="A40" s="1" t="s">
        <v>82</v>
      </c>
      <c r="B40" s="10" t="s">
        <v>199</v>
      </c>
      <c r="C40" s="7">
        <v>240</v>
      </c>
      <c r="D40" s="3">
        <f t="shared" si="1"/>
        <v>4</v>
      </c>
      <c r="E40" s="3" t="s">
        <v>60</v>
      </c>
      <c r="F40" s="3"/>
      <c r="G40" s="4">
        <f t="shared" ref="G40:G45" si="3">1/3</f>
        <v>0.33333333333333331</v>
      </c>
      <c r="H40" s="4">
        <f t="shared" si="2"/>
        <v>0.58333333333333326</v>
      </c>
      <c r="I40" s="2">
        <v>0</v>
      </c>
    </row>
    <row r="41" spans="1:9" x14ac:dyDescent="0.35">
      <c r="A41" s="1" t="s">
        <v>84</v>
      </c>
      <c r="B41" s="10" t="s">
        <v>57</v>
      </c>
      <c r="C41" s="7">
        <v>180</v>
      </c>
      <c r="D41" s="3">
        <f t="shared" si="1"/>
        <v>3</v>
      </c>
      <c r="E41" s="3" t="s">
        <v>166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5">
      <c r="A42" s="1" t="s">
        <v>86</v>
      </c>
      <c r="B42" s="10" t="s">
        <v>59</v>
      </c>
      <c r="C42" s="7">
        <v>240</v>
      </c>
      <c r="D42" s="3">
        <f t="shared" si="1"/>
        <v>4</v>
      </c>
      <c r="E42" s="3"/>
      <c r="F42" s="3"/>
      <c r="G42" s="4">
        <f t="shared" si="3"/>
        <v>0.33333333333333331</v>
      </c>
      <c r="H42" s="4">
        <f t="shared" si="2"/>
        <v>0.58333333333333326</v>
      </c>
      <c r="I42" s="2">
        <v>0</v>
      </c>
    </row>
    <row r="43" spans="1:9" ht="14.5" customHeight="1" x14ac:dyDescent="0.35">
      <c r="A43" s="1" t="s">
        <v>88</v>
      </c>
      <c r="B43" s="10" t="s">
        <v>200</v>
      </c>
      <c r="C43" s="7">
        <v>150</v>
      </c>
      <c r="D43" s="3">
        <f t="shared" si="1"/>
        <v>2.5</v>
      </c>
      <c r="E43" s="3"/>
      <c r="F43" s="3"/>
      <c r="G43" s="4">
        <f t="shared" si="3"/>
        <v>0.33333333333333331</v>
      </c>
      <c r="H43" s="4">
        <f t="shared" si="2"/>
        <v>0.58333333333333326</v>
      </c>
      <c r="I43" s="2">
        <v>0</v>
      </c>
    </row>
    <row r="44" spans="1:9" x14ac:dyDescent="0.35">
      <c r="A44" s="1" t="s">
        <v>90</v>
      </c>
      <c r="B44" s="10" t="s">
        <v>63</v>
      </c>
      <c r="C44" s="7">
        <v>120</v>
      </c>
      <c r="D44" s="3">
        <f t="shared" si="1"/>
        <v>2</v>
      </c>
      <c r="E44" s="3" t="s">
        <v>78</v>
      </c>
      <c r="F44" s="3"/>
      <c r="G44" s="4">
        <f t="shared" si="3"/>
        <v>0.33333333333333331</v>
      </c>
      <c r="H44" s="4">
        <f t="shared" si="2"/>
        <v>0.58333333333333326</v>
      </c>
      <c r="I44" s="2">
        <v>1</v>
      </c>
    </row>
    <row r="45" spans="1:9" x14ac:dyDescent="0.35">
      <c r="A45" s="1" t="s">
        <v>92</v>
      </c>
      <c r="B45" s="10" t="s">
        <v>65</v>
      </c>
      <c r="C45" s="7">
        <v>120</v>
      </c>
      <c r="D45" s="3">
        <f t="shared" si="1"/>
        <v>2</v>
      </c>
      <c r="E45" s="3" t="s">
        <v>60</v>
      </c>
      <c r="F45" s="3"/>
      <c r="G45" s="4">
        <f t="shared" si="3"/>
        <v>0.33333333333333331</v>
      </c>
      <c r="H45" s="4">
        <f t="shared" si="2"/>
        <v>0.58333333333333326</v>
      </c>
      <c r="I45" s="2">
        <v>0</v>
      </c>
    </row>
    <row r="46" spans="1:9" x14ac:dyDescent="0.35">
      <c r="A46" s="1" t="s">
        <v>94</v>
      </c>
      <c r="B46" s="10" t="s">
        <v>67</v>
      </c>
      <c r="C46" s="7">
        <v>240</v>
      </c>
      <c r="D46" s="3">
        <f t="shared" si="1"/>
        <v>4</v>
      </c>
      <c r="E46" s="3" t="s">
        <v>90</v>
      </c>
      <c r="F46" s="3"/>
      <c r="G46" s="4">
        <v>0.3</v>
      </c>
      <c r="H46" s="4">
        <f t="shared" si="2"/>
        <v>0.52500000000000002</v>
      </c>
      <c r="I46" s="2">
        <v>0</v>
      </c>
    </row>
    <row r="47" spans="1:9" x14ac:dyDescent="0.35">
      <c r="A47" s="1" t="s">
        <v>96</v>
      </c>
      <c r="B47" s="10" t="s">
        <v>69</v>
      </c>
      <c r="C47" s="7">
        <v>150</v>
      </c>
      <c r="D47" s="3">
        <f t="shared" si="1"/>
        <v>2.5</v>
      </c>
      <c r="E47" s="3" t="s">
        <v>167</v>
      </c>
      <c r="F47" s="3"/>
      <c r="G47" s="4">
        <v>0.3</v>
      </c>
      <c r="H47" s="4">
        <f t="shared" si="2"/>
        <v>0.52500000000000002</v>
      </c>
      <c r="I47" s="2">
        <v>0</v>
      </c>
    </row>
    <row r="48" spans="1:9" x14ac:dyDescent="0.35">
      <c r="A48" s="1" t="s">
        <v>98</v>
      </c>
      <c r="B48" s="10" t="s">
        <v>73</v>
      </c>
      <c r="C48" s="7">
        <v>240</v>
      </c>
      <c r="D48" s="3">
        <f t="shared" si="1"/>
        <v>4</v>
      </c>
      <c r="E48" s="3" t="s">
        <v>168</v>
      </c>
      <c r="F48" s="3"/>
      <c r="G48" s="4">
        <v>0.3</v>
      </c>
      <c r="H48" s="4">
        <f t="shared" si="2"/>
        <v>0.52500000000000002</v>
      </c>
      <c r="I48" s="2">
        <v>0</v>
      </c>
    </row>
    <row r="49" spans="1:9" x14ac:dyDescent="0.35">
      <c r="A49" s="1" t="s">
        <v>100</v>
      </c>
      <c r="B49" s="10" t="s">
        <v>75</v>
      </c>
      <c r="C49" s="7">
        <v>280</v>
      </c>
      <c r="D49" s="3">
        <f t="shared" si="1"/>
        <v>4.666666666666667</v>
      </c>
      <c r="E49" s="3" t="s">
        <v>90</v>
      </c>
      <c r="F49" s="3"/>
      <c r="G49" s="4">
        <v>0.1</v>
      </c>
      <c r="H49" s="4">
        <f t="shared" si="2"/>
        <v>0.17500000000000002</v>
      </c>
      <c r="I49" s="2">
        <v>0</v>
      </c>
    </row>
    <row r="50" spans="1:9" x14ac:dyDescent="0.35">
      <c r="A50" s="1" t="s">
        <v>102</v>
      </c>
      <c r="B50" s="10" t="s">
        <v>77</v>
      </c>
      <c r="C50" s="7">
        <v>240</v>
      </c>
      <c r="D50" s="3">
        <f t="shared" si="1"/>
        <v>4</v>
      </c>
      <c r="E50" s="3" t="s">
        <v>52</v>
      </c>
      <c r="F50" s="3"/>
      <c r="G50" s="4">
        <v>0.25</v>
      </c>
      <c r="H50" s="4">
        <f t="shared" si="2"/>
        <v>0.4375</v>
      </c>
      <c r="I50" s="2">
        <v>0</v>
      </c>
    </row>
    <row r="51" spans="1:9" x14ac:dyDescent="0.35">
      <c r="A51" s="1" t="s">
        <v>104</v>
      </c>
      <c r="B51" s="10" t="s">
        <v>79</v>
      </c>
      <c r="C51" s="7">
        <v>180</v>
      </c>
      <c r="D51" s="3">
        <f t="shared" si="1"/>
        <v>3</v>
      </c>
      <c r="E51" s="3" t="s">
        <v>90</v>
      </c>
      <c r="F51" s="3"/>
      <c r="G51" s="4">
        <v>0.25</v>
      </c>
      <c r="H51" s="4">
        <f t="shared" si="2"/>
        <v>0.4375</v>
      </c>
      <c r="I51" s="2">
        <v>0</v>
      </c>
    </row>
    <row r="52" spans="1:9" x14ac:dyDescent="0.35">
      <c r="A52" s="1" t="s">
        <v>106</v>
      </c>
      <c r="B52" s="10" t="s">
        <v>81</v>
      </c>
      <c r="C52" s="7">
        <v>150</v>
      </c>
      <c r="D52" s="3">
        <f t="shared" si="1"/>
        <v>2.5</v>
      </c>
      <c r="E52" s="3" t="s">
        <v>66</v>
      </c>
      <c r="F52" s="3"/>
      <c r="G52" s="4">
        <v>0.25</v>
      </c>
      <c r="H52" s="4">
        <f t="shared" si="2"/>
        <v>0.4375</v>
      </c>
      <c r="I52" s="2">
        <v>0</v>
      </c>
    </row>
    <row r="53" spans="1:9" x14ac:dyDescent="0.35">
      <c r="A53" s="1" t="s">
        <v>108</v>
      </c>
      <c r="B53" s="10" t="s">
        <v>83</v>
      </c>
      <c r="C53" s="7">
        <v>180</v>
      </c>
      <c r="D53" s="3">
        <f t="shared" si="1"/>
        <v>3</v>
      </c>
      <c r="E53" s="3" t="s">
        <v>36</v>
      </c>
      <c r="F53" s="3"/>
      <c r="G53" s="4">
        <v>0.25</v>
      </c>
      <c r="H53" s="4">
        <f t="shared" si="2"/>
        <v>0.4375</v>
      </c>
      <c r="I53" s="2">
        <v>0</v>
      </c>
    </row>
    <row r="54" spans="1:9" x14ac:dyDescent="0.35">
      <c r="A54" s="1" t="s">
        <v>110</v>
      </c>
      <c r="B54" s="10" t="s">
        <v>87</v>
      </c>
      <c r="C54" s="7">
        <v>180</v>
      </c>
      <c r="D54" s="3">
        <f t="shared" si="1"/>
        <v>3</v>
      </c>
      <c r="E54" s="3" t="s">
        <v>36</v>
      </c>
      <c r="F54" s="3"/>
      <c r="G54" s="4">
        <v>0.25</v>
      </c>
      <c r="H54" s="4">
        <f t="shared" si="2"/>
        <v>0.4375</v>
      </c>
      <c r="I54" s="2">
        <v>1</v>
      </c>
    </row>
    <row r="55" spans="1:9" x14ac:dyDescent="0.35">
      <c r="A55" s="1" t="s">
        <v>112</v>
      </c>
      <c r="B55" s="10" t="s">
        <v>89</v>
      </c>
      <c r="C55" s="7">
        <v>240</v>
      </c>
      <c r="D55" s="3">
        <f t="shared" si="1"/>
        <v>4</v>
      </c>
      <c r="E55" s="3" t="s">
        <v>110</v>
      </c>
      <c r="F55" s="3"/>
      <c r="G55" s="4">
        <v>0.25</v>
      </c>
      <c r="H55" s="4">
        <f t="shared" si="2"/>
        <v>0.4375</v>
      </c>
      <c r="I55" s="2">
        <v>1</v>
      </c>
    </row>
    <row r="56" spans="1:9" x14ac:dyDescent="0.35">
      <c r="A56" s="1" t="s">
        <v>114</v>
      </c>
      <c r="B56" s="10" t="s">
        <v>91</v>
      </c>
      <c r="C56" s="7">
        <v>180</v>
      </c>
      <c r="D56" s="3">
        <f t="shared" si="1"/>
        <v>3</v>
      </c>
      <c r="E56" s="3" t="s">
        <v>112</v>
      </c>
      <c r="F56" s="3"/>
      <c r="G56" s="4">
        <v>0.25</v>
      </c>
      <c r="H56" s="4">
        <f t="shared" si="2"/>
        <v>0.4375</v>
      </c>
      <c r="I56" s="2">
        <v>1</v>
      </c>
    </row>
    <row r="57" spans="1:9" x14ac:dyDescent="0.35">
      <c r="A57" s="1" t="s">
        <v>116</v>
      </c>
      <c r="B57" s="10" t="s">
        <v>236</v>
      </c>
      <c r="C57" s="7">
        <v>50</v>
      </c>
      <c r="D57" s="3">
        <f t="shared" si="1"/>
        <v>0.83333333333333337</v>
      </c>
      <c r="E57" s="3" t="s">
        <v>169</v>
      </c>
      <c r="F57" s="3"/>
      <c r="G57" s="4">
        <v>0.25</v>
      </c>
      <c r="H57" s="4">
        <f t="shared" si="2"/>
        <v>0.4375</v>
      </c>
      <c r="I57" s="2">
        <v>1</v>
      </c>
    </row>
    <row r="58" spans="1:9" x14ac:dyDescent="0.35">
      <c r="A58" s="1" t="s">
        <v>118</v>
      </c>
      <c r="B58" s="10" t="s">
        <v>93</v>
      </c>
      <c r="C58" s="7">
        <v>180</v>
      </c>
      <c r="D58" s="3">
        <f t="shared" si="1"/>
        <v>3</v>
      </c>
      <c r="E58" s="3" t="s">
        <v>102</v>
      </c>
      <c r="F58" s="3"/>
      <c r="G58" s="4">
        <v>0.5</v>
      </c>
      <c r="H58" s="4">
        <f t="shared" si="2"/>
        <v>0.875</v>
      </c>
      <c r="I58" s="2">
        <v>1</v>
      </c>
    </row>
    <row r="59" spans="1:9" x14ac:dyDescent="0.35">
      <c r="A59" s="1" t="s">
        <v>120</v>
      </c>
      <c r="B59" s="10" t="s">
        <v>205</v>
      </c>
      <c r="C59" s="7">
        <v>180</v>
      </c>
      <c r="D59" s="3">
        <f t="shared" si="1"/>
        <v>3</v>
      </c>
      <c r="E59" s="3" t="s">
        <v>118</v>
      </c>
      <c r="F59" s="3"/>
      <c r="G59" s="4">
        <v>0.5</v>
      </c>
      <c r="H59" s="4">
        <f t="shared" si="2"/>
        <v>0.875</v>
      </c>
      <c r="I59" s="2">
        <v>0</v>
      </c>
    </row>
    <row r="60" spans="1:9" x14ac:dyDescent="0.35">
      <c r="A60" s="1" t="s">
        <v>122</v>
      </c>
      <c r="B60" s="10" t="s">
        <v>95</v>
      </c>
      <c r="C60" s="7">
        <v>180</v>
      </c>
      <c r="D60" s="3">
        <f t="shared" si="1"/>
        <v>3</v>
      </c>
      <c r="E60" s="3"/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5">
      <c r="A61" s="1" t="s">
        <v>124</v>
      </c>
      <c r="B61" s="10" t="s">
        <v>97</v>
      </c>
      <c r="C61" s="7">
        <v>180</v>
      </c>
      <c r="D61" s="3">
        <f t="shared" si="1"/>
        <v>3</v>
      </c>
      <c r="E61" s="3" t="s">
        <v>90</v>
      </c>
      <c r="F61" s="3"/>
      <c r="G61" s="4">
        <f>1/6</f>
        <v>0.16666666666666666</v>
      </c>
      <c r="H61" s="4">
        <f t="shared" si="2"/>
        <v>0.29166666666666663</v>
      </c>
      <c r="I61" s="2">
        <v>0</v>
      </c>
    </row>
    <row r="62" spans="1:9" x14ac:dyDescent="0.35">
      <c r="A62" s="1" t="s">
        <v>126</v>
      </c>
      <c r="B62" s="10" t="s">
        <v>99</v>
      </c>
      <c r="C62" s="7">
        <v>180</v>
      </c>
      <c r="D62" s="3">
        <f t="shared" si="1"/>
        <v>3</v>
      </c>
      <c r="E62" s="3" t="s">
        <v>90</v>
      </c>
      <c r="F62" s="3"/>
      <c r="G62" s="4">
        <f>1/6</f>
        <v>0.16666666666666666</v>
      </c>
      <c r="H62" s="4">
        <f t="shared" si="2"/>
        <v>0.29166666666666663</v>
      </c>
      <c r="I62" s="2">
        <v>0</v>
      </c>
    </row>
    <row r="63" spans="1:9" x14ac:dyDescent="0.35">
      <c r="A63" s="1" t="s">
        <v>128</v>
      </c>
      <c r="B63" s="10" t="s">
        <v>101</v>
      </c>
      <c r="C63" s="7">
        <v>150</v>
      </c>
      <c r="D63" s="3">
        <f t="shared" si="1"/>
        <v>2.5</v>
      </c>
      <c r="E63" s="3" t="s">
        <v>122</v>
      </c>
      <c r="F63" s="3"/>
      <c r="G63" s="4">
        <f>1/6</f>
        <v>0.16666666666666666</v>
      </c>
      <c r="H63" s="4">
        <f t="shared" si="2"/>
        <v>0.29166666666666663</v>
      </c>
      <c r="I63" s="2">
        <v>1</v>
      </c>
    </row>
    <row r="64" spans="1:9" x14ac:dyDescent="0.35">
      <c r="A64" s="1" t="s">
        <v>130</v>
      </c>
      <c r="B64" s="10" t="s">
        <v>103</v>
      </c>
      <c r="C64" s="7">
        <v>120</v>
      </c>
      <c r="D64" s="3">
        <f t="shared" si="1"/>
        <v>2</v>
      </c>
      <c r="E64" s="3" t="s">
        <v>170</v>
      </c>
      <c r="F64" s="3"/>
      <c r="G64" s="4">
        <f>1/6</f>
        <v>0.16666666666666666</v>
      </c>
      <c r="H64" s="4">
        <f t="shared" si="2"/>
        <v>0.29166666666666663</v>
      </c>
      <c r="I64" s="2">
        <v>0</v>
      </c>
    </row>
    <row r="65" spans="1:9" x14ac:dyDescent="0.35">
      <c r="A65" s="1" t="s">
        <v>132</v>
      </c>
      <c r="B65" s="10" t="s">
        <v>105</v>
      </c>
      <c r="C65" s="7">
        <v>150</v>
      </c>
      <c r="D65" s="3">
        <f t="shared" si="1"/>
        <v>2.5</v>
      </c>
      <c r="E65" s="3" t="s">
        <v>170</v>
      </c>
      <c r="F65" s="3"/>
      <c r="G65" s="4">
        <v>0.5</v>
      </c>
      <c r="H65" s="4">
        <f t="shared" si="2"/>
        <v>0.875</v>
      </c>
      <c r="I65" s="2">
        <v>0</v>
      </c>
    </row>
    <row r="66" spans="1:9" x14ac:dyDescent="0.35">
      <c r="A66" s="1" t="s">
        <v>134</v>
      </c>
      <c r="B66" s="10" t="s">
        <v>107</v>
      </c>
      <c r="C66" s="7">
        <v>180</v>
      </c>
      <c r="D66" s="3">
        <f t="shared" si="1"/>
        <v>3</v>
      </c>
      <c r="E66" s="3" t="s">
        <v>132</v>
      </c>
      <c r="F66" s="3"/>
      <c r="G66" s="4">
        <v>0.5</v>
      </c>
      <c r="H66" s="4">
        <f t="shared" si="2"/>
        <v>0.875</v>
      </c>
      <c r="I66" s="2">
        <v>0</v>
      </c>
    </row>
    <row r="67" spans="1:9" x14ac:dyDescent="0.35">
      <c r="A67" s="1" t="s">
        <v>136</v>
      </c>
      <c r="B67" s="10" t="s">
        <v>109</v>
      </c>
      <c r="C67" s="7">
        <v>150</v>
      </c>
      <c r="D67" s="3">
        <f t="shared" si="1"/>
        <v>2.5</v>
      </c>
      <c r="E67" s="3"/>
      <c r="F67" s="3"/>
      <c r="G67" s="4">
        <f>1/6</f>
        <v>0.16666666666666666</v>
      </c>
      <c r="H67" s="4">
        <f t="shared" si="2"/>
        <v>0.29166666666666663</v>
      </c>
      <c r="I67" s="2">
        <v>0</v>
      </c>
    </row>
    <row r="68" spans="1:9" x14ac:dyDescent="0.35">
      <c r="A68" s="1" t="s">
        <v>138</v>
      </c>
      <c r="B68" s="10" t="s">
        <v>111</v>
      </c>
      <c r="C68" s="7">
        <v>240</v>
      </c>
      <c r="D68" s="3">
        <f t="shared" si="1"/>
        <v>4</v>
      </c>
      <c r="E68" s="3" t="s">
        <v>118</v>
      </c>
      <c r="F68" s="3"/>
      <c r="G68" s="4">
        <f t="shared" ref="G68:G74" si="4">1/3</f>
        <v>0.33333333333333331</v>
      </c>
      <c r="H68" s="4">
        <f t="shared" si="2"/>
        <v>0.58333333333333326</v>
      </c>
      <c r="I68" s="2">
        <v>0</v>
      </c>
    </row>
    <row r="69" spans="1:9" x14ac:dyDescent="0.35">
      <c r="A69" s="1" t="s">
        <v>140</v>
      </c>
      <c r="B69" s="10" t="s">
        <v>113</v>
      </c>
      <c r="C69" s="7">
        <v>240</v>
      </c>
      <c r="D69" s="3">
        <f t="shared" si="1"/>
        <v>4</v>
      </c>
      <c r="E69" s="3" t="s">
        <v>118</v>
      </c>
      <c r="F69" s="3"/>
      <c r="G69" s="4">
        <f t="shared" si="4"/>
        <v>0.33333333333333331</v>
      </c>
      <c r="H69" s="4">
        <f t="shared" si="2"/>
        <v>0.58333333333333326</v>
      </c>
      <c r="I69" s="2">
        <v>0</v>
      </c>
    </row>
    <row r="70" spans="1:9" x14ac:dyDescent="0.35">
      <c r="A70" s="1" t="s">
        <v>142</v>
      </c>
      <c r="B70" s="10" t="s">
        <v>115</v>
      </c>
      <c r="C70" s="7">
        <v>120</v>
      </c>
      <c r="D70" s="3">
        <f t="shared" si="1"/>
        <v>2</v>
      </c>
      <c r="E70" s="3" t="s">
        <v>132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5">
      <c r="A71" s="1" t="s">
        <v>144</v>
      </c>
      <c r="B71" s="10" t="s">
        <v>117</v>
      </c>
      <c r="C71" s="7">
        <v>240</v>
      </c>
      <c r="D71" s="3">
        <f t="shared" si="1"/>
        <v>4</v>
      </c>
      <c r="E71" s="3"/>
      <c r="F71" s="3"/>
      <c r="G71" s="4">
        <f t="shared" si="4"/>
        <v>0.33333333333333331</v>
      </c>
      <c r="H71" s="4">
        <f t="shared" si="2"/>
        <v>0.58333333333333326</v>
      </c>
      <c r="I71" s="2">
        <v>0</v>
      </c>
    </row>
    <row r="72" spans="1:9" x14ac:dyDescent="0.35">
      <c r="A72" s="1" t="s">
        <v>146</v>
      </c>
      <c r="B72" s="10" t="s">
        <v>119</v>
      </c>
      <c r="C72" s="7">
        <v>180</v>
      </c>
      <c r="D72" s="3">
        <f t="shared" si="1"/>
        <v>3</v>
      </c>
      <c r="E72" s="3" t="s">
        <v>138</v>
      </c>
      <c r="F72" s="3"/>
      <c r="G72" s="4">
        <f t="shared" si="4"/>
        <v>0.33333333333333331</v>
      </c>
      <c r="H72" s="4">
        <f t="shared" si="2"/>
        <v>0.58333333333333326</v>
      </c>
      <c r="I72" s="2">
        <v>1</v>
      </c>
    </row>
    <row r="73" spans="1:9" x14ac:dyDescent="0.35">
      <c r="A73" s="1" t="s">
        <v>148</v>
      </c>
      <c r="B73" s="10" t="s">
        <v>121</v>
      </c>
      <c r="C73" s="7">
        <v>150</v>
      </c>
      <c r="D73" s="3">
        <f t="shared" si="1"/>
        <v>2.5</v>
      </c>
      <c r="E73" s="3" t="s">
        <v>142</v>
      </c>
      <c r="F73" s="3"/>
      <c r="G73" s="4">
        <f t="shared" si="4"/>
        <v>0.33333333333333331</v>
      </c>
      <c r="H73" s="4">
        <f t="shared" si="2"/>
        <v>0.58333333333333326</v>
      </c>
      <c r="I73" s="2">
        <v>1</v>
      </c>
    </row>
    <row r="74" spans="1:9" x14ac:dyDescent="0.35">
      <c r="A74" s="1" t="s">
        <v>150</v>
      </c>
      <c r="B74" s="10" t="s">
        <v>125</v>
      </c>
      <c r="C74" s="7">
        <v>180</v>
      </c>
      <c r="D74" s="3">
        <f t="shared" si="1"/>
        <v>3</v>
      </c>
      <c r="E74" s="3" t="s">
        <v>148</v>
      </c>
      <c r="F74" s="3"/>
      <c r="G74" s="4">
        <f t="shared" si="4"/>
        <v>0.33333333333333331</v>
      </c>
      <c r="H74" s="4">
        <f t="shared" si="2"/>
        <v>0.58333333333333326</v>
      </c>
      <c r="I74" s="2">
        <v>0</v>
      </c>
    </row>
    <row r="75" spans="1:9" x14ac:dyDescent="0.35">
      <c r="A75" s="1" t="s">
        <v>152</v>
      </c>
      <c r="B75" s="10" t="s">
        <v>237</v>
      </c>
      <c r="C75" s="7">
        <v>240</v>
      </c>
      <c r="D75" s="3">
        <f t="shared" ref="D75:D80" si="5">C75/60</f>
        <v>4</v>
      </c>
      <c r="E75" s="8" t="s">
        <v>173</v>
      </c>
      <c r="F75" s="3"/>
      <c r="G75" s="4">
        <v>0.5</v>
      </c>
      <c r="H75" s="4">
        <f t="shared" ref="H75:H79" si="6">G75*1.75</f>
        <v>0.875</v>
      </c>
      <c r="I75" s="2">
        <v>0</v>
      </c>
    </row>
    <row r="76" spans="1:9" x14ac:dyDescent="0.35">
      <c r="A76" s="1" t="s">
        <v>154</v>
      </c>
      <c r="B76" s="10" t="s">
        <v>131</v>
      </c>
      <c r="C76" s="7">
        <v>180</v>
      </c>
      <c r="D76" s="3">
        <f t="shared" si="5"/>
        <v>3</v>
      </c>
      <c r="E76" s="3"/>
      <c r="F76" s="3"/>
      <c r="G76" s="4">
        <v>0.5</v>
      </c>
      <c r="H76" s="4">
        <f t="shared" si="6"/>
        <v>0.875</v>
      </c>
      <c r="I76" s="2">
        <v>1</v>
      </c>
    </row>
    <row r="77" spans="1:9" x14ac:dyDescent="0.35">
      <c r="A77" s="1" t="s">
        <v>159</v>
      </c>
      <c r="B77" s="10" t="s">
        <v>133</v>
      </c>
      <c r="C77" s="7">
        <v>180</v>
      </c>
      <c r="D77" s="3">
        <f t="shared" si="5"/>
        <v>3</v>
      </c>
      <c r="E77" s="3" t="s">
        <v>146</v>
      </c>
      <c r="F77" s="3"/>
      <c r="G77" s="4">
        <v>0.5</v>
      </c>
      <c r="H77" s="4">
        <f t="shared" si="6"/>
        <v>0.875</v>
      </c>
      <c r="I77" s="2">
        <v>0</v>
      </c>
    </row>
    <row r="78" spans="1:9" x14ac:dyDescent="0.35">
      <c r="A78" s="1" t="s">
        <v>160</v>
      </c>
      <c r="B78" s="10" t="s">
        <v>135</v>
      </c>
      <c r="C78" s="7">
        <v>240</v>
      </c>
      <c r="D78" s="3">
        <f t="shared" si="5"/>
        <v>4</v>
      </c>
      <c r="E78" s="3" t="s">
        <v>171</v>
      </c>
      <c r="F78" s="3"/>
      <c r="G78" s="4">
        <v>1</v>
      </c>
      <c r="H78" s="4">
        <f t="shared" si="6"/>
        <v>1.75</v>
      </c>
      <c r="I78" s="2">
        <v>0</v>
      </c>
    </row>
    <row r="79" spans="1:9" x14ac:dyDescent="0.35">
      <c r="A79" s="1" t="s">
        <v>161</v>
      </c>
      <c r="B79" s="10" t="s">
        <v>238</v>
      </c>
      <c r="C79" s="7">
        <v>510</v>
      </c>
      <c r="D79" s="3">
        <f t="shared" si="5"/>
        <v>8.5</v>
      </c>
      <c r="E79" s="3" t="s">
        <v>172</v>
      </c>
      <c r="F79" s="3"/>
      <c r="G79" s="4">
        <v>0.5</v>
      </c>
      <c r="H79" s="4">
        <f t="shared" si="6"/>
        <v>0.875</v>
      </c>
      <c r="I79" s="2">
        <v>0</v>
      </c>
    </row>
    <row r="80" spans="1:9" x14ac:dyDescent="0.35">
      <c r="A80" s="1" t="s">
        <v>162</v>
      </c>
      <c r="B80" s="11" t="s">
        <v>137</v>
      </c>
      <c r="C80" s="7">
        <v>300</v>
      </c>
      <c r="D80" s="3">
        <f t="shared" si="5"/>
        <v>5</v>
      </c>
      <c r="E80" s="3"/>
      <c r="F80" s="3"/>
      <c r="G80" s="4">
        <v>0.5</v>
      </c>
      <c r="H80" s="4">
        <f>G80*1.75</f>
        <v>0.875</v>
      </c>
      <c r="I80" s="2">
        <v>0</v>
      </c>
    </row>
    <row r="81" spans="1:9" x14ac:dyDescent="0.35">
      <c r="A81" s="1" t="s">
        <v>211</v>
      </c>
      <c r="B81" s="10" t="s">
        <v>206</v>
      </c>
      <c r="G81" s="4">
        <f>SUM(G10:G80)</f>
        <v>20.999999999999996</v>
      </c>
      <c r="H81" s="4">
        <f>SUM(H10:H80)</f>
        <v>36.749999999999993</v>
      </c>
      <c r="I81" s="2"/>
    </row>
    <row r="82" spans="1:9" x14ac:dyDescent="0.35">
      <c r="A82" s="1" t="s">
        <v>212</v>
      </c>
      <c r="B82" s="10" t="s">
        <v>61</v>
      </c>
    </row>
    <row r="83" spans="1:9" x14ac:dyDescent="0.35">
      <c r="A83" s="1" t="s">
        <v>213</v>
      </c>
      <c r="B83" s="10" t="s">
        <v>239</v>
      </c>
    </row>
    <row r="84" spans="1:9" x14ac:dyDescent="0.35">
      <c r="A84" s="1" t="s">
        <v>214</v>
      </c>
      <c r="B84" s="10" t="s">
        <v>187</v>
      </c>
    </row>
    <row r="85" spans="1:9" x14ac:dyDescent="0.35">
      <c r="A85" s="1" t="s">
        <v>215</v>
      </c>
      <c r="B85" s="10" t="s">
        <v>143</v>
      </c>
    </row>
    <row r="86" spans="1:9" x14ac:dyDescent="0.35">
      <c r="A86" s="1" t="s">
        <v>216</v>
      </c>
      <c r="B86" s="10" t="s">
        <v>143</v>
      </c>
    </row>
    <row r="87" spans="1:9" x14ac:dyDescent="0.35">
      <c r="A87" s="1" t="s">
        <v>217</v>
      </c>
      <c r="B87" s="10" t="s">
        <v>209</v>
      </c>
    </row>
    <row r="88" spans="1:9" x14ac:dyDescent="0.35">
      <c r="A88" s="1" t="s">
        <v>218</v>
      </c>
      <c r="B88" s="10" t="s">
        <v>145</v>
      </c>
    </row>
    <row r="89" spans="1:9" x14ac:dyDescent="0.35">
      <c r="A89" s="1" t="s">
        <v>219</v>
      </c>
      <c r="B89" s="10" t="s">
        <v>188</v>
      </c>
    </row>
    <row r="90" spans="1:9" x14ac:dyDescent="0.35">
      <c r="A90" s="1" t="s">
        <v>220</v>
      </c>
      <c r="B90" s="10" t="s">
        <v>210</v>
      </c>
    </row>
    <row r="91" spans="1:9" x14ac:dyDescent="0.35">
      <c r="A91" s="1" t="s">
        <v>221</v>
      </c>
      <c r="B91" s="10" t="s">
        <v>151</v>
      </c>
    </row>
    <row r="92" spans="1:9" x14ac:dyDescent="0.35">
      <c r="A92" s="1" t="s">
        <v>222</v>
      </c>
      <c r="B92" s="10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4CA2-A88F-45A5-A39C-9A4DA17B6DA9}">
  <dimension ref="A2:L92"/>
  <sheetViews>
    <sheetView workbookViewId="0">
      <selection sqref="A1:XFD1048576"/>
    </sheetView>
  </sheetViews>
  <sheetFormatPr defaultRowHeight="14.5" x14ac:dyDescent="0.35"/>
  <cols>
    <col min="1" max="1" width="8.90625" style="1" bestFit="1" customWidth="1"/>
    <col min="2" max="2" width="22.1796875" style="1" bestFit="1" customWidth="1"/>
    <col min="3" max="3" width="16.36328125" style="1" bestFit="1" customWidth="1"/>
    <col min="4" max="4" width="16.36328125" style="6" bestFit="1" customWidth="1"/>
    <col min="5" max="5" width="33.453125" style="6" customWidth="1"/>
    <col min="6" max="6" width="12.6328125" style="6" customWidth="1"/>
    <col min="7" max="8" width="14.7265625" style="6" bestFit="1" customWidth="1"/>
    <col min="9" max="9" width="14.7265625" style="1" bestFit="1" customWidth="1"/>
    <col min="10" max="11" width="8.7265625" style="1"/>
    <col min="12" max="12" width="15.90625" style="1" bestFit="1" customWidth="1"/>
    <col min="13" max="16384" width="8.7265625" style="1"/>
  </cols>
  <sheetData>
    <row r="2" spans="1:12" x14ac:dyDescent="0.35">
      <c r="B2" s="2" t="s">
        <v>0</v>
      </c>
      <c r="C2" s="2" t="s">
        <v>240</v>
      </c>
    </row>
    <row r="3" spans="1:12" x14ac:dyDescent="0.35">
      <c r="D3" s="1"/>
      <c r="E3" s="1"/>
      <c r="F3" s="1"/>
    </row>
    <row r="4" spans="1:12" ht="15" customHeight="1" x14ac:dyDescent="0.35">
      <c r="A4" s="1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8</v>
      </c>
      <c r="I4" s="5" t="s">
        <v>9</v>
      </c>
    </row>
    <row r="5" spans="1:12" ht="15" customHeight="1" x14ac:dyDescent="0.35">
      <c r="A5" s="1" t="s">
        <v>10</v>
      </c>
      <c r="B5" s="2"/>
      <c r="C5" s="3">
        <f>SUM(C6:C80)</f>
        <v>12140</v>
      </c>
      <c r="D5" s="3">
        <f>SUM(D6:D80)</f>
        <v>202.33333333333331</v>
      </c>
      <c r="E5" s="3"/>
      <c r="F5" s="3"/>
      <c r="G5" s="3">
        <f>SUM(G10:G80)</f>
        <v>20.999999999999996</v>
      </c>
      <c r="H5" s="4">
        <f>SUM(H10:H80)</f>
        <v>36.749999999999993</v>
      </c>
      <c r="I5" s="2"/>
    </row>
    <row r="6" spans="1:12" ht="15" customHeight="1" x14ac:dyDescent="0.35">
      <c r="A6" s="1" t="s">
        <v>11</v>
      </c>
      <c r="B6" s="9" t="s">
        <v>155</v>
      </c>
      <c r="C6" s="7">
        <v>150</v>
      </c>
      <c r="D6" s="3">
        <f t="shared" ref="D6:D9" si="0">C6/60</f>
        <v>2.5</v>
      </c>
      <c r="E6" s="3"/>
      <c r="F6" s="3"/>
      <c r="G6" s="3"/>
      <c r="H6" s="4"/>
      <c r="I6" s="2"/>
    </row>
    <row r="7" spans="1:12" ht="15" customHeight="1" x14ac:dyDescent="0.35">
      <c r="A7" s="1" t="s">
        <v>13</v>
      </c>
      <c r="B7" s="9" t="s">
        <v>156</v>
      </c>
      <c r="C7" s="7">
        <v>180</v>
      </c>
      <c r="D7" s="3">
        <f t="shared" si="0"/>
        <v>3</v>
      </c>
      <c r="E7" s="3"/>
      <c r="F7" s="3"/>
      <c r="G7" s="3"/>
      <c r="H7" s="4"/>
      <c r="I7" s="2"/>
    </row>
    <row r="8" spans="1:12" ht="15" customHeight="1" x14ac:dyDescent="0.35">
      <c r="A8" s="1" t="s">
        <v>16</v>
      </c>
      <c r="B8" s="9" t="s">
        <v>157</v>
      </c>
      <c r="C8" s="7">
        <v>180</v>
      </c>
      <c r="D8" s="3">
        <f t="shared" si="0"/>
        <v>3</v>
      </c>
      <c r="E8" s="3"/>
      <c r="F8" s="3"/>
      <c r="G8" s="3"/>
      <c r="H8" s="4"/>
      <c r="I8" s="2"/>
    </row>
    <row r="9" spans="1:12" ht="15" customHeight="1" x14ac:dyDescent="0.35">
      <c r="A9" s="1" t="s">
        <v>19</v>
      </c>
      <c r="B9" s="9" t="s">
        <v>158</v>
      </c>
      <c r="C9" s="7">
        <v>180</v>
      </c>
      <c r="D9" s="3">
        <f t="shared" si="0"/>
        <v>3</v>
      </c>
      <c r="E9" s="3"/>
      <c r="F9" s="3"/>
      <c r="G9" s="3"/>
      <c r="H9" s="4"/>
      <c r="I9" s="2"/>
    </row>
    <row r="10" spans="1:12" ht="14.5" customHeight="1" x14ac:dyDescent="0.35">
      <c r="A10" s="1" t="s">
        <v>22</v>
      </c>
      <c r="B10" s="12" t="s">
        <v>12</v>
      </c>
      <c r="C10" s="7">
        <v>100</v>
      </c>
      <c r="D10" s="3">
        <f>C10/60</f>
        <v>1.6666666666666667</v>
      </c>
      <c r="E10" s="3"/>
      <c r="F10" s="3"/>
      <c r="G10" s="4">
        <f>1/6</f>
        <v>0.16666666666666666</v>
      </c>
      <c r="H10" s="4">
        <f>G10*1.75</f>
        <v>0.29166666666666663</v>
      </c>
      <c r="I10" s="2">
        <v>0</v>
      </c>
    </row>
    <row r="11" spans="1:12" x14ac:dyDescent="0.35">
      <c r="A11" s="1" t="s">
        <v>24</v>
      </c>
      <c r="B11" s="13" t="s">
        <v>14</v>
      </c>
      <c r="C11" s="7">
        <v>120</v>
      </c>
      <c r="D11" s="3">
        <f t="shared" ref="D11:D74" si="1">C11/60</f>
        <v>2</v>
      </c>
      <c r="E11" s="3"/>
      <c r="F11" s="3"/>
      <c r="G11" s="4">
        <f>1/6</f>
        <v>0.16666666666666666</v>
      </c>
      <c r="H11" s="4">
        <f t="shared" ref="H11:H74" si="2">G11*1.75</f>
        <v>0.29166666666666663</v>
      </c>
      <c r="I11" s="2">
        <v>0</v>
      </c>
      <c r="L11" s="1" t="s">
        <v>15</v>
      </c>
    </row>
    <row r="12" spans="1:12" x14ac:dyDescent="0.35">
      <c r="A12" s="1" t="s">
        <v>26</v>
      </c>
      <c r="B12" s="13" t="s">
        <v>17</v>
      </c>
      <c r="C12" s="7">
        <v>60</v>
      </c>
      <c r="D12" s="3">
        <f>C12/60</f>
        <v>1</v>
      </c>
      <c r="E12" s="3"/>
      <c r="F12" s="3"/>
      <c r="G12" s="4">
        <f>1/6</f>
        <v>0.16666666666666666</v>
      </c>
      <c r="H12" s="4">
        <f>G12*1.75</f>
        <v>0.29166666666666663</v>
      </c>
      <c r="I12" s="2">
        <v>0</v>
      </c>
      <c r="L12" s="1" t="s">
        <v>21</v>
      </c>
    </row>
    <row r="13" spans="1:12" x14ac:dyDescent="0.35">
      <c r="A13" s="1" t="s">
        <v>28</v>
      </c>
      <c r="B13" s="13" t="s">
        <v>174</v>
      </c>
      <c r="C13" s="7">
        <v>30</v>
      </c>
      <c r="D13" s="3">
        <f t="shared" si="1"/>
        <v>0.5</v>
      </c>
      <c r="E13" s="3"/>
      <c r="F13" s="3"/>
      <c r="G13" s="4">
        <f>1/6</f>
        <v>0.16666666666666666</v>
      </c>
      <c r="H13" s="4">
        <f t="shared" si="2"/>
        <v>0.29166666666666663</v>
      </c>
      <c r="I13" s="2">
        <v>0</v>
      </c>
      <c r="L13" s="1" t="s">
        <v>18</v>
      </c>
    </row>
    <row r="14" spans="1:12" x14ac:dyDescent="0.35">
      <c r="A14" s="1" t="s">
        <v>30</v>
      </c>
      <c r="B14" s="13" t="s">
        <v>20</v>
      </c>
      <c r="C14" s="7">
        <v>60</v>
      </c>
      <c r="D14" s="3">
        <f t="shared" si="1"/>
        <v>1</v>
      </c>
      <c r="E14" s="3"/>
      <c r="F14" s="3"/>
      <c r="G14" s="4">
        <f>1/6</f>
        <v>0.16666666666666666</v>
      </c>
      <c r="H14" s="4">
        <f t="shared" si="2"/>
        <v>0.29166666666666663</v>
      </c>
      <c r="I14" s="2">
        <v>0</v>
      </c>
    </row>
    <row r="15" spans="1:12" x14ac:dyDescent="0.35">
      <c r="A15" s="1" t="s">
        <v>32</v>
      </c>
      <c r="B15" s="10" t="s">
        <v>175</v>
      </c>
      <c r="C15" s="7">
        <v>30</v>
      </c>
      <c r="D15" s="3">
        <f t="shared" si="1"/>
        <v>0.5</v>
      </c>
      <c r="E15" s="8" t="s">
        <v>26</v>
      </c>
      <c r="F15" s="3"/>
      <c r="G15" s="4">
        <f>1/8</f>
        <v>0.125</v>
      </c>
      <c r="H15" s="4">
        <f t="shared" si="2"/>
        <v>0.21875</v>
      </c>
      <c r="I15" s="2">
        <v>0</v>
      </c>
    </row>
    <row r="16" spans="1:12" x14ac:dyDescent="0.35">
      <c r="A16" s="1" t="s">
        <v>34</v>
      </c>
      <c r="B16" s="10" t="s">
        <v>176</v>
      </c>
      <c r="C16" s="7">
        <v>150</v>
      </c>
      <c r="D16" s="3">
        <f t="shared" si="1"/>
        <v>2.5</v>
      </c>
      <c r="E16" s="3"/>
      <c r="F16" s="3"/>
      <c r="G16" s="4">
        <f>1/8</f>
        <v>0.125</v>
      </c>
      <c r="H16" s="4">
        <f t="shared" si="2"/>
        <v>0.21875</v>
      </c>
      <c r="I16" s="2">
        <v>1</v>
      </c>
    </row>
    <row r="17" spans="1:9" x14ac:dyDescent="0.35">
      <c r="A17" s="1" t="s">
        <v>36</v>
      </c>
      <c r="B17" s="10" t="s">
        <v>177</v>
      </c>
      <c r="C17" s="7">
        <v>180</v>
      </c>
      <c r="D17" s="3">
        <f t="shared" si="1"/>
        <v>3</v>
      </c>
      <c r="E17" s="3" t="s">
        <v>163</v>
      </c>
      <c r="F17" s="3"/>
      <c r="G17" s="4">
        <f>1/8</f>
        <v>0.125</v>
      </c>
      <c r="H17" s="4">
        <f t="shared" si="2"/>
        <v>0.21875</v>
      </c>
      <c r="I17" s="2">
        <v>1</v>
      </c>
    </row>
    <row r="18" spans="1:9" x14ac:dyDescent="0.35">
      <c r="A18" s="1" t="s">
        <v>38</v>
      </c>
      <c r="B18" s="10" t="s">
        <v>178</v>
      </c>
      <c r="C18" s="7">
        <v>180</v>
      </c>
      <c r="D18" s="3">
        <f t="shared" si="1"/>
        <v>3</v>
      </c>
      <c r="E18" s="3"/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x14ac:dyDescent="0.35">
      <c r="A19" s="1" t="s">
        <v>40</v>
      </c>
      <c r="B19" s="10" t="s">
        <v>241</v>
      </c>
      <c r="C19" s="7">
        <v>180</v>
      </c>
      <c r="D19" s="3">
        <f t="shared" si="1"/>
        <v>3</v>
      </c>
      <c r="E19" s="3" t="s">
        <v>164</v>
      </c>
      <c r="F19" s="3"/>
      <c r="G19" s="4">
        <f>1/2</f>
        <v>0.5</v>
      </c>
      <c r="H19" s="4">
        <f t="shared" si="2"/>
        <v>0.875</v>
      </c>
      <c r="I19" s="2">
        <v>1</v>
      </c>
    </row>
    <row r="20" spans="1:9" x14ac:dyDescent="0.35">
      <c r="A20" s="1" t="s">
        <v>42</v>
      </c>
      <c r="B20" s="10" t="s">
        <v>29</v>
      </c>
      <c r="C20" s="7">
        <v>60</v>
      </c>
      <c r="D20" s="3">
        <f t="shared" si="1"/>
        <v>1</v>
      </c>
      <c r="E20" s="3" t="s">
        <v>165</v>
      </c>
      <c r="F20" s="3"/>
      <c r="G20" s="4">
        <f>1/4</f>
        <v>0.25</v>
      </c>
      <c r="H20" s="4">
        <f t="shared" si="2"/>
        <v>0.4375</v>
      </c>
      <c r="I20" s="2">
        <v>0</v>
      </c>
    </row>
    <row r="21" spans="1:9" x14ac:dyDescent="0.35">
      <c r="A21" s="1" t="s">
        <v>44</v>
      </c>
      <c r="B21" s="10" t="s">
        <v>31</v>
      </c>
      <c r="C21" s="7">
        <v>50</v>
      </c>
      <c r="D21" s="3">
        <f t="shared" si="1"/>
        <v>0.83333333333333337</v>
      </c>
      <c r="E21" s="3" t="s">
        <v>30</v>
      </c>
      <c r="F21" s="3"/>
      <c r="G21" s="4">
        <f>1/8</f>
        <v>0.125</v>
      </c>
      <c r="H21" s="4">
        <f t="shared" si="2"/>
        <v>0.21875</v>
      </c>
      <c r="I21" s="2">
        <v>0</v>
      </c>
    </row>
    <row r="22" spans="1:9" x14ac:dyDescent="0.35">
      <c r="A22" s="1" t="s">
        <v>46</v>
      </c>
      <c r="B22" s="10" t="s">
        <v>33</v>
      </c>
      <c r="C22" s="7">
        <v>30</v>
      </c>
      <c r="D22" s="3">
        <f t="shared" si="1"/>
        <v>0.5</v>
      </c>
      <c r="E22" s="3" t="s">
        <v>36</v>
      </c>
      <c r="F22" s="3"/>
      <c r="G22" s="4">
        <f>1/8</f>
        <v>0.125</v>
      </c>
      <c r="H22" s="4">
        <f t="shared" si="2"/>
        <v>0.21875</v>
      </c>
      <c r="I22" s="2">
        <v>0</v>
      </c>
    </row>
    <row r="23" spans="1:9" ht="14.5" customHeight="1" x14ac:dyDescent="0.35">
      <c r="A23" s="1" t="s">
        <v>48</v>
      </c>
      <c r="B23" s="10" t="s">
        <v>35</v>
      </c>
      <c r="C23" s="7">
        <v>50</v>
      </c>
      <c r="D23" s="3">
        <f t="shared" si="1"/>
        <v>0.83333333333333337</v>
      </c>
      <c r="E23" s="3" t="s">
        <v>165</v>
      </c>
      <c r="F23" s="3"/>
      <c r="G23" s="4">
        <v>0.2</v>
      </c>
      <c r="H23" s="4">
        <f t="shared" si="2"/>
        <v>0.35000000000000003</v>
      </c>
      <c r="I23" s="2">
        <v>0</v>
      </c>
    </row>
    <row r="24" spans="1:9" x14ac:dyDescent="0.35">
      <c r="A24" s="1" t="s">
        <v>50</v>
      </c>
      <c r="B24" s="10" t="s">
        <v>190</v>
      </c>
      <c r="C24" s="7">
        <v>90</v>
      </c>
      <c r="D24" s="3">
        <f t="shared" si="1"/>
        <v>1.5</v>
      </c>
      <c r="E24" s="3" t="s">
        <v>40</v>
      </c>
      <c r="F24" s="3"/>
      <c r="G24" s="4">
        <v>0.5</v>
      </c>
      <c r="H24" s="4">
        <f t="shared" si="2"/>
        <v>0.875</v>
      </c>
      <c r="I24" s="2">
        <v>1</v>
      </c>
    </row>
    <row r="25" spans="1:9" x14ac:dyDescent="0.35">
      <c r="A25" s="1" t="s">
        <v>52</v>
      </c>
      <c r="B25" s="10" t="s">
        <v>39</v>
      </c>
      <c r="C25" s="7">
        <v>120</v>
      </c>
      <c r="D25" s="3">
        <f t="shared" si="1"/>
        <v>2</v>
      </c>
      <c r="E25" s="3" t="s">
        <v>36</v>
      </c>
      <c r="F25" s="3"/>
      <c r="G25" s="4">
        <v>0.3</v>
      </c>
      <c r="H25" s="4">
        <f t="shared" si="2"/>
        <v>0.52500000000000002</v>
      </c>
      <c r="I25" s="2">
        <v>1</v>
      </c>
    </row>
    <row r="26" spans="1:9" ht="14.5" customHeight="1" x14ac:dyDescent="0.35">
      <c r="A26" s="1" t="s">
        <v>54</v>
      </c>
      <c r="B26" s="10" t="s">
        <v>41</v>
      </c>
      <c r="C26" s="7">
        <v>150</v>
      </c>
      <c r="D26" s="3">
        <f t="shared" si="1"/>
        <v>2.5</v>
      </c>
      <c r="E26" s="3" t="s">
        <v>36</v>
      </c>
      <c r="F26" s="3"/>
      <c r="G26" s="4">
        <f>1/3</f>
        <v>0.33333333333333331</v>
      </c>
      <c r="H26" s="4">
        <f t="shared" si="2"/>
        <v>0.58333333333333326</v>
      </c>
      <c r="I26" s="2">
        <v>1</v>
      </c>
    </row>
    <row r="27" spans="1:9" x14ac:dyDescent="0.35">
      <c r="A27" s="1" t="s">
        <v>56</v>
      </c>
      <c r="B27" s="10" t="s">
        <v>43</v>
      </c>
      <c r="C27" s="7">
        <v>120</v>
      </c>
      <c r="D27" s="3">
        <f t="shared" si="1"/>
        <v>2</v>
      </c>
      <c r="E27" s="3" t="s">
        <v>34</v>
      </c>
      <c r="F27" s="3"/>
      <c r="G27" s="4">
        <f>1/3</f>
        <v>0.33333333333333331</v>
      </c>
      <c r="H27" s="4">
        <f t="shared" si="2"/>
        <v>0.58333333333333326</v>
      </c>
      <c r="I27" s="2">
        <v>0</v>
      </c>
    </row>
    <row r="28" spans="1:9" x14ac:dyDescent="0.35">
      <c r="A28" s="1" t="s">
        <v>58</v>
      </c>
      <c r="B28" s="10" t="s">
        <v>45</v>
      </c>
      <c r="C28" s="7">
        <v>120</v>
      </c>
      <c r="D28" s="3">
        <f t="shared" si="1"/>
        <v>2</v>
      </c>
      <c r="E28" s="3" t="s">
        <v>50</v>
      </c>
      <c r="F28" s="3"/>
      <c r="G28" s="4">
        <f>1/3</f>
        <v>0.33333333333333331</v>
      </c>
      <c r="H28" s="4">
        <f t="shared" si="2"/>
        <v>0.58333333333333326</v>
      </c>
      <c r="I28" s="2">
        <v>0</v>
      </c>
    </row>
    <row r="29" spans="1:9" x14ac:dyDescent="0.35">
      <c r="A29" s="1" t="s">
        <v>60</v>
      </c>
      <c r="B29" s="10" t="s">
        <v>242</v>
      </c>
      <c r="C29" s="7">
        <v>240</v>
      </c>
      <c r="D29" s="3">
        <f t="shared" si="1"/>
        <v>4</v>
      </c>
      <c r="E29" s="3"/>
      <c r="F29" s="3"/>
      <c r="G29" s="4">
        <v>0.5</v>
      </c>
      <c r="H29" s="4">
        <f t="shared" si="2"/>
        <v>0.875</v>
      </c>
      <c r="I29" s="2">
        <v>1</v>
      </c>
    </row>
    <row r="30" spans="1:9" x14ac:dyDescent="0.35">
      <c r="A30" s="1" t="s">
        <v>62</v>
      </c>
      <c r="B30" s="10" t="s">
        <v>192</v>
      </c>
      <c r="C30" s="7">
        <v>180</v>
      </c>
      <c r="D30" s="3">
        <f t="shared" si="1"/>
        <v>3</v>
      </c>
      <c r="E30" s="3" t="s">
        <v>36</v>
      </c>
      <c r="F30" s="3"/>
      <c r="G30" s="4">
        <v>0.5</v>
      </c>
      <c r="H30" s="4">
        <f t="shared" si="2"/>
        <v>0.875</v>
      </c>
      <c r="I30" s="2">
        <v>0</v>
      </c>
    </row>
    <row r="31" spans="1:9" ht="15" customHeight="1" x14ac:dyDescent="0.35">
      <c r="A31" s="1" t="s">
        <v>64</v>
      </c>
      <c r="B31" s="10" t="s">
        <v>193</v>
      </c>
      <c r="C31" s="7">
        <v>150</v>
      </c>
      <c r="D31" s="3">
        <f t="shared" si="1"/>
        <v>2.5</v>
      </c>
      <c r="E31" s="3" t="s">
        <v>36</v>
      </c>
      <c r="F31" s="3"/>
      <c r="G31" s="4">
        <v>0.25</v>
      </c>
      <c r="H31" s="4">
        <f t="shared" si="2"/>
        <v>0.4375</v>
      </c>
      <c r="I31" s="2">
        <v>0</v>
      </c>
    </row>
    <row r="32" spans="1:9" x14ac:dyDescent="0.35">
      <c r="A32" s="1" t="s">
        <v>66</v>
      </c>
      <c r="B32" s="10" t="s">
        <v>51</v>
      </c>
      <c r="C32" s="7">
        <v>150</v>
      </c>
      <c r="D32" s="3">
        <f t="shared" si="1"/>
        <v>2.5</v>
      </c>
      <c r="E32" s="3" t="s">
        <v>40</v>
      </c>
      <c r="F32" s="3"/>
      <c r="G32" s="4">
        <v>0.25</v>
      </c>
      <c r="H32" s="4">
        <f t="shared" si="2"/>
        <v>0.4375</v>
      </c>
      <c r="I32" s="2">
        <v>0</v>
      </c>
    </row>
    <row r="33" spans="1:9" x14ac:dyDescent="0.35">
      <c r="A33" s="1" t="s">
        <v>68</v>
      </c>
      <c r="B33" s="11" t="s">
        <v>51</v>
      </c>
      <c r="C33" s="7">
        <v>180</v>
      </c>
      <c r="D33" s="3">
        <f t="shared" si="1"/>
        <v>3</v>
      </c>
      <c r="E33" s="3" t="s">
        <v>40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5">
      <c r="A34" s="1" t="s">
        <v>70</v>
      </c>
      <c r="B34" s="11" t="s">
        <v>194</v>
      </c>
      <c r="C34" s="7">
        <v>180</v>
      </c>
      <c r="D34" s="3">
        <f t="shared" si="1"/>
        <v>3</v>
      </c>
      <c r="E34" s="3" t="s">
        <v>40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5">
      <c r="A35" s="1" t="s">
        <v>72</v>
      </c>
      <c r="B35" s="11" t="s">
        <v>234</v>
      </c>
      <c r="C35" s="7">
        <v>80</v>
      </c>
      <c r="D35" s="3">
        <f t="shared" si="1"/>
        <v>1.3333333333333333</v>
      </c>
      <c r="E35" s="3" t="s">
        <v>40</v>
      </c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x14ac:dyDescent="0.35">
      <c r="A36" s="1" t="s">
        <v>74</v>
      </c>
      <c r="B36" s="11" t="s">
        <v>235</v>
      </c>
      <c r="C36" s="7">
        <v>80</v>
      </c>
      <c r="D36" s="3">
        <f t="shared" si="1"/>
        <v>1.3333333333333333</v>
      </c>
      <c r="E36" s="3" t="s">
        <v>64</v>
      </c>
      <c r="F36" s="3"/>
      <c r="G36" s="4">
        <f>1/3</f>
        <v>0.33333333333333331</v>
      </c>
      <c r="H36" s="4">
        <f t="shared" si="2"/>
        <v>0.58333333333333326</v>
      </c>
      <c r="I36" s="2">
        <v>0</v>
      </c>
    </row>
    <row r="37" spans="1:9" x14ac:dyDescent="0.35">
      <c r="A37" s="1" t="s">
        <v>76</v>
      </c>
      <c r="B37" s="11" t="s">
        <v>199</v>
      </c>
      <c r="C37" s="7">
        <v>80</v>
      </c>
      <c r="D37" s="3">
        <f t="shared" si="1"/>
        <v>1.3333333333333333</v>
      </c>
      <c r="E37" s="3" t="s">
        <v>74</v>
      </c>
      <c r="F37" s="3"/>
      <c r="G37" s="4">
        <f>1/6</f>
        <v>0.16666666666666666</v>
      </c>
      <c r="H37" s="4">
        <f t="shared" si="2"/>
        <v>0.29166666666666663</v>
      </c>
      <c r="I37" s="2">
        <v>0</v>
      </c>
    </row>
    <row r="38" spans="1:9" x14ac:dyDescent="0.35">
      <c r="A38" s="1" t="s">
        <v>78</v>
      </c>
      <c r="B38" s="11" t="s">
        <v>57</v>
      </c>
      <c r="C38" s="7">
        <v>120</v>
      </c>
      <c r="D38" s="3">
        <f t="shared" si="1"/>
        <v>2</v>
      </c>
      <c r="E38" s="3" t="s">
        <v>68</v>
      </c>
      <c r="F38" s="3"/>
      <c r="G38" s="4">
        <f>1/6</f>
        <v>0.16666666666666666</v>
      </c>
      <c r="H38" s="4">
        <f t="shared" si="2"/>
        <v>0.29166666666666663</v>
      </c>
      <c r="I38" s="2">
        <v>0</v>
      </c>
    </row>
    <row r="39" spans="1:9" x14ac:dyDescent="0.35">
      <c r="A39" s="1" t="s">
        <v>80</v>
      </c>
      <c r="B39" s="11" t="s">
        <v>59</v>
      </c>
      <c r="C39" s="7">
        <v>120</v>
      </c>
      <c r="D39" s="3">
        <f t="shared" si="1"/>
        <v>2</v>
      </c>
      <c r="E39" s="3"/>
      <c r="F39" s="3"/>
      <c r="G39" s="4">
        <f>1/6</f>
        <v>0.16666666666666666</v>
      </c>
      <c r="H39" s="4">
        <f t="shared" si="2"/>
        <v>0.29166666666666663</v>
      </c>
      <c r="I39" s="2">
        <v>0</v>
      </c>
    </row>
    <row r="40" spans="1:9" ht="14.5" customHeight="1" x14ac:dyDescent="0.35">
      <c r="A40" s="1" t="s">
        <v>82</v>
      </c>
      <c r="B40" s="11" t="s">
        <v>200</v>
      </c>
      <c r="C40" s="7">
        <v>240</v>
      </c>
      <c r="D40" s="3">
        <f t="shared" si="1"/>
        <v>4</v>
      </c>
      <c r="E40" s="3" t="s">
        <v>60</v>
      </c>
      <c r="F40" s="3"/>
      <c r="G40" s="4">
        <f t="shared" ref="G40:G45" si="3">1/3</f>
        <v>0.33333333333333331</v>
      </c>
      <c r="H40" s="4">
        <f t="shared" si="2"/>
        <v>0.58333333333333326</v>
      </c>
      <c r="I40" s="2">
        <v>0</v>
      </c>
    </row>
    <row r="41" spans="1:9" x14ac:dyDescent="0.35">
      <c r="A41" s="1" t="s">
        <v>84</v>
      </c>
      <c r="B41" s="11" t="s">
        <v>63</v>
      </c>
      <c r="C41" s="7">
        <v>180</v>
      </c>
      <c r="D41" s="3">
        <f t="shared" si="1"/>
        <v>3</v>
      </c>
      <c r="E41" s="3" t="s">
        <v>166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5">
      <c r="A42" s="1" t="s">
        <v>86</v>
      </c>
      <c r="B42" s="11" t="s">
        <v>65</v>
      </c>
      <c r="C42" s="7">
        <v>240</v>
      </c>
      <c r="D42" s="3">
        <f t="shared" si="1"/>
        <v>4</v>
      </c>
      <c r="E42" s="3"/>
      <c r="F42" s="3"/>
      <c r="G42" s="4">
        <f t="shared" si="3"/>
        <v>0.33333333333333331</v>
      </c>
      <c r="H42" s="4">
        <f t="shared" si="2"/>
        <v>0.58333333333333326</v>
      </c>
      <c r="I42" s="2">
        <v>0</v>
      </c>
    </row>
    <row r="43" spans="1:9" ht="14.5" customHeight="1" x14ac:dyDescent="0.35">
      <c r="A43" s="1" t="s">
        <v>88</v>
      </c>
      <c r="B43" s="11" t="s">
        <v>67</v>
      </c>
      <c r="C43" s="7">
        <v>150</v>
      </c>
      <c r="D43" s="3">
        <f t="shared" si="1"/>
        <v>2.5</v>
      </c>
      <c r="E43" s="3"/>
      <c r="F43" s="3"/>
      <c r="G43" s="4">
        <f t="shared" si="3"/>
        <v>0.33333333333333331</v>
      </c>
      <c r="H43" s="4">
        <f t="shared" si="2"/>
        <v>0.58333333333333326</v>
      </c>
      <c r="I43" s="2">
        <v>0</v>
      </c>
    </row>
    <row r="44" spans="1:9" x14ac:dyDescent="0.35">
      <c r="A44" s="1" t="s">
        <v>90</v>
      </c>
      <c r="B44" s="11" t="s">
        <v>69</v>
      </c>
      <c r="C44" s="7">
        <v>120</v>
      </c>
      <c r="D44" s="3">
        <f t="shared" si="1"/>
        <v>2</v>
      </c>
      <c r="E44" s="3" t="s">
        <v>78</v>
      </c>
      <c r="F44" s="3"/>
      <c r="G44" s="4">
        <f t="shared" si="3"/>
        <v>0.33333333333333331</v>
      </c>
      <c r="H44" s="4">
        <f t="shared" si="2"/>
        <v>0.58333333333333326</v>
      </c>
      <c r="I44" s="2">
        <v>1</v>
      </c>
    </row>
    <row r="45" spans="1:9" x14ac:dyDescent="0.35">
      <c r="A45" s="1" t="s">
        <v>92</v>
      </c>
      <c r="B45" s="11" t="s">
        <v>73</v>
      </c>
      <c r="C45" s="7">
        <v>120</v>
      </c>
      <c r="D45" s="3">
        <f t="shared" si="1"/>
        <v>2</v>
      </c>
      <c r="E45" s="3" t="s">
        <v>60</v>
      </c>
      <c r="F45" s="3"/>
      <c r="G45" s="4">
        <f t="shared" si="3"/>
        <v>0.33333333333333331</v>
      </c>
      <c r="H45" s="4">
        <f t="shared" si="2"/>
        <v>0.58333333333333326</v>
      </c>
      <c r="I45" s="2">
        <v>0</v>
      </c>
    </row>
    <row r="46" spans="1:9" x14ac:dyDescent="0.35">
      <c r="A46" s="1" t="s">
        <v>94</v>
      </c>
      <c r="B46" s="11" t="s">
        <v>75</v>
      </c>
      <c r="C46" s="7">
        <v>240</v>
      </c>
      <c r="D46" s="3">
        <f t="shared" si="1"/>
        <v>4</v>
      </c>
      <c r="E46" s="3" t="s">
        <v>90</v>
      </c>
      <c r="F46" s="3"/>
      <c r="G46" s="4">
        <v>0.3</v>
      </c>
      <c r="H46" s="4">
        <f t="shared" si="2"/>
        <v>0.52500000000000002</v>
      </c>
      <c r="I46" s="2">
        <v>0</v>
      </c>
    </row>
    <row r="47" spans="1:9" x14ac:dyDescent="0.35">
      <c r="A47" s="1" t="s">
        <v>96</v>
      </c>
      <c r="B47" s="11" t="s">
        <v>77</v>
      </c>
      <c r="C47" s="7">
        <v>150</v>
      </c>
      <c r="D47" s="3">
        <f t="shared" si="1"/>
        <v>2.5</v>
      </c>
      <c r="E47" s="3" t="s">
        <v>167</v>
      </c>
      <c r="F47" s="3"/>
      <c r="G47" s="4">
        <v>0.3</v>
      </c>
      <c r="H47" s="4">
        <f t="shared" si="2"/>
        <v>0.52500000000000002</v>
      </c>
      <c r="I47" s="2">
        <v>0</v>
      </c>
    </row>
    <row r="48" spans="1:9" x14ac:dyDescent="0.35">
      <c r="A48" s="1" t="s">
        <v>98</v>
      </c>
      <c r="B48" s="11" t="s">
        <v>79</v>
      </c>
      <c r="C48" s="7">
        <v>240</v>
      </c>
      <c r="D48" s="3">
        <f t="shared" si="1"/>
        <v>4</v>
      </c>
      <c r="E48" s="3" t="s">
        <v>168</v>
      </c>
      <c r="F48" s="3"/>
      <c r="G48" s="4">
        <v>0.3</v>
      </c>
      <c r="H48" s="4">
        <f t="shared" si="2"/>
        <v>0.52500000000000002</v>
      </c>
      <c r="I48" s="2">
        <v>0</v>
      </c>
    </row>
    <row r="49" spans="1:9" x14ac:dyDescent="0.35">
      <c r="A49" s="1" t="s">
        <v>100</v>
      </c>
      <c r="B49" s="11" t="s">
        <v>81</v>
      </c>
      <c r="C49" s="7">
        <v>280</v>
      </c>
      <c r="D49" s="3">
        <f t="shared" si="1"/>
        <v>4.666666666666667</v>
      </c>
      <c r="E49" s="3" t="s">
        <v>90</v>
      </c>
      <c r="F49" s="3"/>
      <c r="G49" s="4">
        <v>0.1</v>
      </c>
      <c r="H49" s="4">
        <f t="shared" si="2"/>
        <v>0.17500000000000002</v>
      </c>
      <c r="I49" s="2">
        <v>0</v>
      </c>
    </row>
    <row r="50" spans="1:9" x14ac:dyDescent="0.35">
      <c r="A50" s="1" t="s">
        <v>102</v>
      </c>
      <c r="B50" s="11" t="s">
        <v>83</v>
      </c>
      <c r="C50" s="7">
        <v>240</v>
      </c>
      <c r="D50" s="3">
        <f t="shared" si="1"/>
        <v>4</v>
      </c>
      <c r="E50" s="3" t="s">
        <v>52</v>
      </c>
      <c r="F50" s="3"/>
      <c r="G50" s="4">
        <v>0.25</v>
      </c>
      <c r="H50" s="4">
        <f t="shared" si="2"/>
        <v>0.4375</v>
      </c>
      <c r="I50" s="2">
        <v>0</v>
      </c>
    </row>
    <row r="51" spans="1:9" x14ac:dyDescent="0.35">
      <c r="A51" s="1" t="s">
        <v>104</v>
      </c>
      <c r="B51" s="11" t="s">
        <v>87</v>
      </c>
      <c r="C51" s="7">
        <v>180</v>
      </c>
      <c r="D51" s="3">
        <f t="shared" si="1"/>
        <v>3</v>
      </c>
      <c r="E51" s="3" t="s">
        <v>90</v>
      </c>
      <c r="F51" s="3"/>
      <c r="G51" s="4">
        <v>0.25</v>
      </c>
      <c r="H51" s="4">
        <f t="shared" si="2"/>
        <v>0.4375</v>
      </c>
      <c r="I51" s="2">
        <v>0</v>
      </c>
    </row>
    <row r="52" spans="1:9" x14ac:dyDescent="0.35">
      <c r="A52" s="1" t="s">
        <v>106</v>
      </c>
      <c r="B52" s="11" t="s">
        <v>89</v>
      </c>
      <c r="C52" s="7">
        <v>150</v>
      </c>
      <c r="D52" s="3">
        <f t="shared" si="1"/>
        <v>2.5</v>
      </c>
      <c r="E52" s="3" t="s">
        <v>66</v>
      </c>
      <c r="F52" s="3"/>
      <c r="G52" s="4">
        <v>0.25</v>
      </c>
      <c r="H52" s="4">
        <f t="shared" si="2"/>
        <v>0.4375</v>
      </c>
      <c r="I52" s="2">
        <v>0</v>
      </c>
    </row>
    <row r="53" spans="1:9" x14ac:dyDescent="0.35">
      <c r="A53" s="1" t="s">
        <v>108</v>
      </c>
      <c r="B53" s="11" t="s">
        <v>91</v>
      </c>
      <c r="C53" s="7">
        <v>180</v>
      </c>
      <c r="D53" s="3">
        <f t="shared" si="1"/>
        <v>3</v>
      </c>
      <c r="E53" s="3" t="s">
        <v>36</v>
      </c>
      <c r="F53" s="3"/>
      <c r="G53" s="4">
        <v>0.25</v>
      </c>
      <c r="H53" s="4">
        <f t="shared" si="2"/>
        <v>0.4375</v>
      </c>
      <c r="I53" s="2">
        <v>0</v>
      </c>
    </row>
    <row r="54" spans="1:9" x14ac:dyDescent="0.35">
      <c r="A54" s="1" t="s">
        <v>110</v>
      </c>
      <c r="B54" s="11" t="s">
        <v>236</v>
      </c>
      <c r="C54" s="7">
        <v>180</v>
      </c>
      <c r="D54" s="3">
        <f t="shared" si="1"/>
        <v>3</v>
      </c>
      <c r="E54" s="3" t="s">
        <v>36</v>
      </c>
      <c r="F54" s="3"/>
      <c r="G54" s="4">
        <v>0.25</v>
      </c>
      <c r="H54" s="4">
        <f t="shared" si="2"/>
        <v>0.4375</v>
      </c>
      <c r="I54" s="2">
        <v>1</v>
      </c>
    </row>
    <row r="55" spans="1:9" x14ac:dyDescent="0.35">
      <c r="A55" s="1" t="s">
        <v>112</v>
      </c>
      <c r="B55" s="11" t="s">
        <v>93</v>
      </c>
      <c r="C55" s="7">
        <v>240</v>
      </c>
      <c r="D55" s="3">
        <f t="shared" si="1"/>
        <v>4</v>
      </c>
      <c r="E55" s="3" t="s">
        <v>110</v>
      </c>
      <c r="F55" s="3"/>
      <c r="G55" s="4">
        <v>0.25</v>
      </c>
      <c r="H55" s="4">
        <f t="shared" si="2"/>
        <v>0.4375</v>
      </c>
      <c r="I55" s="2">
        <v>1</v>
      </c>
    </row>
    <row r="56" spans="1:9" x14ac:dyDescent="0.35">
      <c r="A56" s="1" t="s">
        <v>114</v>
      </c>
      <c r="B56" s="11" t="s">
        <v>205</v>
      </c>
      <c r="C56" s="7">
        <v>180</v>
      </c>
      <c r="D56" s="3">
        <f t="shared" si="1"/>
        <v>3</v>
      </c>
      <c r="E56" s="3" t="s">
        <v>112</v>
      </c>
      <c r="F56" s="3"/>
      <c r="G56" s="4">
        <v>0.25</v>
      </c>
      <c r="H56" s="4">
        <f t="shared" si="2"/>
        <v>0.4375</v>
      </c>
      <c r="I56" s="2">
        <v>1</v>
      </c>
    </row>
    <row r="57" spans="1:9" x14ac:dyDescent="0.35">
      <c r="A57" s="1" t="s">
        <v>116</v>
      </c>
      <c r="B57" s="11" t="s">
        <v>95</v>
      </c>
      <c r="C57" s="7">
        <v>50</v>
      </c>
      <c r="D57" s="3">
        <f t="shared" si="1"/>
        <v>0.83333333333333337</v>
      </c>
      <c r="E57" s="3" t="s">
        <v>169</v>
      </c>
      <c r="F57" s="3"/>
      <c r="G57" s="4">
        <v>0.25</v>
      </c>
      <c r="H57" s="4">
        <f t="shared" si="2"/>
        <v>0.4375</v>
      </c>
      <c r="I57" s="2">
        <v>1</v>
      </c>
    </row>
    <row r="58" spans="1:9" x14ac:dyDescent="0.35">
      <c r="A58" s="1" t="s">
        <v>118</v>
      </c>
      <c r="B58" s="11" t="s">
        <v>97</v>
      </c>
      <c r="C58" s="7">
        <v>180</v>
      </c>
      <c r="D58" s="3">
        <f t="shared" si="1"/>
        <v>3</v>
      </c>
      <c r="E58" s="3" t="s">
        <v>102</v>
      </c>
      <c r="F58" s="3"/>
      <c r="G58" s="4">
        <v>0.5</v>
      </c>
      <c r="H58" s="4">
        <f t="shared" si="2"/>
        <v>0.875</v>
      </c>
      <c r="I58" s="2">
        <v>1</v>
      </c>
    </row>
    <row r="59" spans="1:9" x14ac:dyDescent="0.35">
      <c r="A59" s="1" t="s">
        <v>120</v>
      </c>
      <c r="B59" s="11" t="s">
        <v>99</v>
      </c>
      <c r="C59" s="7">
        <v>180</v>
      </c>
      <c r="D59" s="3">
        <f t="shared" si="1"/>
        <v>3</v>
      </c>
      <c r="E59" s="3" t="s">
        <v>118</v>
      </c>
      <c r="F59" s="3"/>
      <c r="G59" s="4">
        <v>0.5</v>
      </c>
      <c r="H59" s="4">
        <f t="shared" si="2"/>
        <v>0.875</v>
      </c>
      <c r="I59" s="2">
        <v>0</v>
      </c>
    </row>
    <row r="60" spans="1:9" x14ac:dyDescent="0.35">
      <c r="A60" s="1" t="s">
        <v>122</v>
      </c>
      <c r="B60" s="11" t="s">
        <v>101</v>
      </c>
      <c r="C60" s="7">
        <v>180</v>
      </c>
      <c r="D60" s="3">
        <f t="shared" si="1"/>
        <v>3</v>
      </c>
      <c r="E60" s="3"/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5">
      <c r="A61" s="1" t="s">
        <v>124</v>
      </c>
      <c r="B61" s="11" t="s">
        <v>103</v>
      </c>
      <c r="C61" s="7">
        <v>180</v>
      </c>
      <c r="D61" s="3">
        <f t="shared" si="1"/>
        <v>3</v>
      </c>
      <c r="E61" s="3" t="s">
        <v>90</v>
      </c>
      <c r="F61" s="3"/>
      <c r="G61" s="4">
        <f>1/6</f>
        <v>0.16666666666666666</v>
      </c>
      <c r="H61" s="4">
        <f t="shared" si="2"/>
        <v>0.29166666666666663</v>
      </c>
      <c r="I61" s="2">
        <v>0</v>
      </c>
    </row>
    <row r="62" spans="1:9" x14ac:dyDescent="0.35">
      <c r="A62" s="1" t="s">
        <v>126</v>
      </c>
      <c r="B62" s="11" t="s">
        <v>105</v>
      </c>
      <c r="C62" s="7">
        <v>180</v>
      </c>
      <c r="D62" s="3">
        <f t="shared" si="1"/>
        <v>3</v>
      </c>
      <c r="E62" s="3" t="s">
        <v>90</v>
      </c>
      <c r="F62" s="3"/>
      <c r="G62" s="4">
        <f>1/6</f>
        <v>0.16666666666666666</v>
      </c>
      <c r="H62" s="4">
        <f t="shared" si="2"/>
        <v>0.29166666666666663</v>
      </c>
      <c r="I62" s="2">
        <v>0</v>
      </c>
    </row>
    <row r="63" spans="1:9" x14ac:dyDescent="0.35">
      <c r="A63" s="1" t="s">
        <v>128</v>
      </c>
      <c r="B63" s="11" t="s">
        <v>107</v>
      </c>
      <c r="C63" s="7">
        <v>150</v>
      </c>
      <c r="D63" s="3">
        <f t="shared" si="1"/>
        <v>2.5</v>
      </c>
      <c r="E63" s="3" t="s">
        <v>122</v>
      </c>
      <c r="F63" s="3"/>
      <c r="G63" s="4">
        <f>1/6</f>
        <v>0.16666666666666666</v>
      </c>
      <c r="H63" s="4">
        <f t="shared" si="2"/>
        <v>0.29166666666666663</v>
      </c>
      <c r="I63" s="2">
        <v>1</v>
      </c>
    </row>
    <row r="64" spans="1:9" x14ac:dyDescent="0.35">
      <c r="A64" s="1" t="s">
        <v>130</v>
      </c>
      <c r="B64" s="11" t="s">
        <v>109</v>
      </c>
      <c r="C64" s="7">
        <v>120</v>
      </c>
      <c r="D64" s="3">
        <f t="shared" si="1"/>
        <v>2</v>
      </c>
      <c r="E64" s="3" t="s">
        <v>170</v>
      </c>
      <c r="F64" s="3"/>
      <c r="G64" s="4">
        <f>1/6</f>
        <v>0.16666666666666666</v>
      </c>
      <c r="H64" s="4">
        <f t="shared" si="2"/>
        <v>0.29166666666666663</v>
      </c>
      <c r="I64" s="2">
        <v>0</v>
      </c>
    </row>
    <row r="65" spans="1:9" x14ac:dyDescent="0.35">
      <c r="A65" s="1" t="s">
        <v>132</v>
      </c>
      <c r="B65" s="11" t="s">
        <v>111</v>
      </c>
      <c r="C65" s="7">
        <v>150</v>
      </c>
      <c r="D65" s="3">
        <f t="shared" si="1"/>
        <v>2.5</v>
      </c>
      <c r="E65" s="3" t="s">
        <v>170</v>
      </c>
      <c r="F65" s="3"/>
      <c r="G65" s="4">
        <v>0.5</v>
      </c>
      <c r="H65" s="4">
        <f t="shared" si="2"/>
        <v>0.875</v>
      </c>
      <c r="I65" s="2">
        <v>0</v>
      </c>
    </row>
    <row r="66" spans="1:9" x14ac:dyDescent="0.35">
      <c r="A66" s="1" t="s">
        <v>134</v>
      </c>
      <c r="B66" s="11" t="s">
        <v>113</v>
      </c>
      <c r="C66" s="7">
        <v>180</v>
      </c>
      <c r="D66" s="3">
        <f t="shared" si="1"/>
        <v>3</v>
      </c>
      <c r="E66" s="3" t="s">
        <v>132</v>
      </c>
      <c r="F66" s="3"/>
      <c r="G66" s="4">
        <v>0.5</v>
      </c>
      <c r="H66" s="4">
        <f t="shared" si="2"/>
        <v>0.875</v>
      </c>
      <c r="I66" s="2">
        <v>0</v>
      </c>
    </row>
    <row r="67" spans="1:9" x14ac:dyDescent="0.35">
      <c r="A67" s="1" t="s">
        <v>136</v>
      </c>
      <c r="B67" s="11" t="s">
        <v>115</v>
      </c>
      <c r="C67" s="7">
        <v>150</v>
      </c>
      <c r="D67" s="3">
        <f t="shared" si="1"/>
        <v>2.5</v>
      </c>
      <c r="E67" s="3"/>
      <c r="F67" s="3"/>
      <c r="G67" s="4">
        <f>1/6</f>
        <v>0.16666666666666666</v>
      </c>
      <c r="H67" s="4">
        <f t="shared" si="2"/>
        <v>0.29166666666666663</v>
      </c>
      <c r="I67" s="2">
        <v>0</v>
      </c>
    </row>
    <row r="68" spans="1:9" x14ac:dyDescent="0.35">
      <c r="A68" s="1" t="s">
        <v>138</v>
      </c>
      <c r="B68" s="11" t="s">
        <v>117</v>
      </c>
      <c r="C68" s="7">
        <v>240</v>
      </c>
      <c r="D68" s="3">
        <f t="shared" si="1"/>
        <v>4</v>
      </c>
      <c r="E68" s="3" t="s">
        <v>118</v>
      </c>
      <c r="F68" s="3"/>
      <c r="G68" s="4">
        <f t="shared" ref="G68:G74" si="4">1/3</f>
        <v>0.33333333333333331</v>
      </c>
      <c r="H68" s="4">
        <f t="shared" si="2"/>
        <v>0.58333333333333326</v>
      </c>
      <c r="I68" s="2">
        <v>0</v>
      </c>
    </row>
    <row r="69" spans="1:9" x14ac:dyDescent="0.35">
      <c r="A69" s="1" t="s">
        <v>140</v>
      </c>
      <c r="B69" s="11" t="s">
        <v>119</v>
      </c>
      <c r="C69" s="7">
        <v>240</v>
      </c>
      <c r="D69" s="3">
        <f t="shared" si="1"/>
        <v>4</v>
      </c>
      <c r="E69" s="3" t="s">
        <v>118</v>
      </c>
      <c r="F69" s="3"/>
      <c r="G69" s="4">
        <f t="shared" si="4"/>
        <v>0.33333333333333331</v>
      </c>
      <c r="H69" s="4">
        <f t="shared" si="2"/>
        <v>0.58333333333333326</v>
      </c>
      <c r="I69" s="2">
        <v>0</v>
      </c>
    </row>
    <row r="70" spans="1:9" x14ac:dyDescent="0.35">
      <c r="A70" s="1" t="s">
        <v>142</v>
      </c>
      <c r="B70" s="11" t="s">
        <v>121</v>
      </c>
      <c r="C70" s="7">
        <v>120</v>
      </c>
      <c r="D70" s="3">
        <f t="shared" si="1"/>
        <v>2</v>
      </c>
      <c r="E70" s="3" t="s">
        <v>132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5">
      <c r="A71" s="1" t="s">
        <v>144</v>
      </c>
      <c r="B71" s="11" t="s">
        <v>125</v>
      </c>
      <c r="C71" s="7">
        <v>240</v>
      </c>
      <c r="D71" s="3">
        <f t="shared" si="1"/>
        <v>4</v>
      </c>
      <c r="E71" s="3"/>
      <c r="F71" s="3"/>
      <c r="G71" s="4">
        <f t="shared" si="4"/>
        <v>0.33333333333333331</v>
      </c>
      <c r="H71" s="4">
        <f t="shared" si="2"/>
        <v>0.58333333333333326</v>
      </c>
      <c r="I71" s="2">
        <v>0</v>
      </c>
    </row>
    <row r="72" spans="1:9" x14ac:dyDescent="0.35">
      <c r="A72" s="1" t="s">
        <v>146</v>
      </c>
      <c r="B72" s="11" t="s">
        <v>237</v>
      </c>
      <c r="C72" s="7">
        <v>180</v>
      </c>
      <c r="D72" s="3">
        <f t="shared" si="1"/>
        <v>3</v>
      </c>
      <c r="E72" s="3" t="s">
        <v>138</v>
      </c>
      <c r="F72" s="3"/>
      <c r="G72" s="4">
        <f t="shared" si="4"/>
        <v>0.33333333333333331</v>
      </c>
      <c r="H72" s="4">
        <f t="shared" si="2"/>
        <v>0.58333333333333326</v>
      </c>
      <c r="I72" s="2">
        <v>1</v>
      </c>
    </row>
    <row r="73" spans="1:9" x14ac:dyDescent="0.35">
      <c r="A73" s="1" t="s">
        <v>148</v>
      </c>
      <c r="B73" s="11" t="s">
        <v>131</v>
      </c>
      <c r="C73" s="7">
        <v>150</v>
      </c>
      <c r="D73" s="3">
        <f t="shared" si="1"/>
        <v>2.5</v>
      </c>
      <c r="E73" s="3" t="s">
        <v>142</v>
      </c>
      <c r="F73" s="3"/>
      <c r="G73" s="4">
        <f t="shared" si="4"/>
        <v>0.33333333333333331</v>
      </c>
      <c r="H73" s="4">
        <f t="shared" si="2"/>
        <v>0.58333333333333326</v>
      </c>
      <c r="I73" s="2">
        <v>1</v>
      </c>
    </row>
    <row r="74" spans="1:9" x14ac:dyDescent="0.35">
      <c r="A74" s="1" t="s">
        <v>150</v>
      </c>
      <c r="B74" s="11" t="s">
        <v>133</v>
      </c>
      <c r="C74" s="7">
        <v>180</v>
      </c>
      <c r="D74" s="3">
        <f t="shared" si="1"/>
        <v>3</v>
      </c>
      <c r="E74" s="3" t="s">
        <v>148</v>
      </c>
      <c r="F74" s="3"/>
      <c r="G74" s="4">
        <f t="shared" si="4"/>
        <v>0.33333333333333331</v>
      </c>
      <c r="H74" s="4">
        <f t="shared" si="2"/>
        <v>0.58333333333333326</v>
      </c>
      <c r="I74" s="2">
        <v>0</v>
      </c>
    </row>
    <row r="75" spans="1:9" x14ac:dyDescent="0.35">
      <c r="A75" s="1" t="s">
        <v>152</v>
      </c>
      <c r="B75" s="11" t="s">
        <v>135</v>
      </c>
      <c r="C75" s="7">
        <v>240</v>
      </c>
      <c r="D75" s="3">
        <f t="shared" ref="D75:D80" si="5">C75/60</f>
        <v>4</v>
      </c>
      <c r="E75" s="8" t="s">
        <v>173</v>
      </c>
      <c r="F75" s="3"/>
      <c r="G75" s="4">
        <v>0.5</v>
      </c>
      <c r="H75" s="4">
        <f t="shared" ref="H75:H79" si="6">G75*1.75</f>
        <v>0.875</v>
      </c>
      <c r="I75" s="2">
        <v>0</v>
      </c>
    </row>
    <row r="76" spans="1:9" x14ac:dyDescent="0.35">
      <c r="A76" s="1" t="s">
        <v>154</v>
      </c>
      <c r="B76" s="11" t="s">
        <v>238</v>
      </c>
      <c r="C76" s="7">
        <v>180</v>
      </c>
      <c r="D76" s="3">
        <f t="shared" si="5"/>
        <v>3</v>
      </c>
      <c r="E76" s="3"/>
      <c r="F76" s="3"/>
      <c r="G76" s="4">
        <v>0.5</v>
      </c>
      <c r="H76" s="4">
        <f t="shared" si="6"/>
        <v>0.875</v>
      </c>
      <c r="I76" s="2">
        <v>1</v>
      </c>
    </row>
    <row r="77" spans="1:9" x14ac:dyDescent="0.35">
      <c r="A77" s="1" t="s">
        <v>159</v>
      </c>
      <c r="B77" s="11" t="s">
        <v>137</v>
      </c>
      <c r="C77" s="7">
        <v>180</v>
      </c>
      <c r="D77" s="3">
        <f t="shared" si="5"/>
        <v>3</v>
      </c>
      <c r="E77" s="3" t="s">
        <v>146</v>
      </c>
      <c r="F77" s="3"/>
      <c r="G77" s="4">
        <v>0.5</v>
      </c>
      <c r="H77" s="4">
        <f t="shared" si="6"/>
        <v>0.875</v>
      </c>
      <c r="I77" s="2">
        <v>0</v>
      </c>
    </row>
    <row r="78" spans="1:9" x14ac:dyDescent="0.35">
      <c r="A78" s="1" t="s">
        <v>160</v>
      </c>
      <c r="B78" s="11" t="s">
        <v>206</v>
      </c>
      <c r="C78" s="7">
        <v>240</v>
      </c>
      <c r="D78" s="3">
        <f t="shared" si="5"/>
        <v>4</v>
      </c>
      <c r="E78" s="3" t="s">
        <v>171</v>
      </c>
      <c r="F78" s="3"/>
      <c r="G78" s="4">
        <v>1</v>
      </c>
      <c r="H78" s="4">
        <f t="shared" si="6"/>
        <v>1.75</v>
      </c>
      <c r="I78" s="2">
        <v>0</v>
      </c>
    </row>
    <row r="79" spans="1:9" x14ac:dyDescent="0.35">
      <c r="A79" s="1" t="s">
        <v>161</v>
      </c>
      <c r="B79" s="11" t="s">
        <v>61</v>
      </c>
      <c r="C79" s="7">
        <v>510</v>
      </c>
      <c r="D79" s="3">
        <f t="shared" si="5"/>
        <v>8.5</v>
      </c>
      <c r="E79" s="3" t="s">
        <v>172</v>
      </c>
      <c r="F79" s="3"/>
      <c r="G79" s="4">
        <v>0.5</v>
      </c>
      <c r="H79" s="4">
        <f t="shared" si="6"/>
        <v>0.875</v>
      </c>
      <c r="I79" s="2">
        <v>0</v>
      </c>
    </row>
    <row r="80" spans="1:9" x14ac:dyDescent="0.35">
      <c r="A80" s="1" t="s">
        <v>162</v>
      </c>
      <c r="B80" s="11" t="s">
        <v>239</v>
      </c>
      <c r="C80" s="7">
        <v>300</v>
      </c>
      <c r="D80" s="3">
        <f t="shared" si="5"/>
        <v>5</v>
      </c>
      <c r="E80" s="3"/>
      <c r="F80" s="3"/>
      <c r="G80" s="4">
        <v>0.5</v>
      </c>
      <c r="H80" s="4">
        <f>G80*1.75</f>
        <v>0.875</v>
      </c>
      <c r="I80" s="2">
        <v>0</v>
      </c>
    </row>
    <row r="81" spans="1:9" x14ac:dyDescent="0.35">
      <c r="A81" s="1" t="s">
        <v>211</v>
      </c>
      <c r="B81" s="11" t="s">
        <v>187</v>
      </c>
      <c r="G81" s="4">
        <f>SUM(G10:G80)</f>
        <v>20.999999999999996</v>
      </c>
      <c r="H81" s="4">
        <f>SUM(H10:H80)</f>
        <v>36.749999999999993</v>
      </c>
      <c r="I81" s="2"/>
    </row>
    <row r="82" spans="1:9" x14ac:dyDescent="0.35">
      <c r="A82" s="1" t="s">
        <v>212</v>
      </c>
      <c r="B82" s="11" t="s">
        <v>143</v>
      </c>
    </row>
    <row r="83" spans="1:9" x14ac:dyDescent="0.35">
      <c r="A83" s="1" t="s">
        <v>213</v>
      </c>
      <c r="B83" s="11" t="s">
        <v>143</v>
      </c>
    </row>
    <row r="84" spans="1:9" x14ac:dyDescent="0.35">
      <c r="A84" s="1" t="s">
        <v>214</v>
      </c>
      <c r="B84" s="11" t="s">
        <v>209</v>
      </c>
    </row>
    <row r="85" spans="1:9" x14ac:dyDescent="0.35">
      <c r="A85" s="1" t="s">
        <v>215</v>
      </c>
      <c r="B85" s="11" t="s">
        <v>145</v>
      </c>
    </row>
    <row r="86" spans="1:9" x14ac:dyDescent="0.35">
      <c r="A86" s="1" t="s">
        <v>216</v>
      </c>
      <c r="B86" s="11" t="s">
        <v>188</v>
      </c>
    </row>
    <row r="87" spans="1:9" x14ac:dyDescent="0.35">
      <c r="A87" s="1" t="s">
        <v>217</v>
      </c>
      <c r="B87" s="11" t="s">
        <v>210</v>
      </c>
    </row>
    <row r="88" spans="1:9" x14ac:dyDescent="0.35">
      <c r="A88" s="1" t="s">
        <v>218</v>
      </c>
      <c r="B88" s="11" t="s">
        <v>151</v>
      </c>
    </row>
    <row r="89" spans="1:9" x14ac:dyDescent="0.35">
      <c r="A89" s="1" t="s">
        <v>219</v>
      </c>
      <c r="B89" s="11" t="s">
        <v>153</v>
      </c>
    </row>
    <row r="90" spans="1:9" x14ac:dyDescent="0.35">
      <c r="A90" s="1" t="s">
        <v>220</v>
      </c>
    </row>
    <row r="91" spans="1:9" x14ac:dyDescent="0.35">
      <c r="A91" s="1" t="s">
        <v>221</v>
      </c>
    </row>
    <row r="92" spans="1:9" x14ac:dyDescent="0.35">
      <c r="A92" s="1" t="s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0F02-48AF-466A-9E86-1F1EC41F2F71}">
  <dimension ref="A2:L92"/>
  <sheetViews>
    <sheetView topLeftCell="A20" workbookViewId="0">
      <selection activeCell="B34" sqref="B34"/>
    </sheetView>
  </sheetViews>
  <sheetFormatPr defaultRowHeight="14.5" x14ac:dyDescent="0.35"/>
  <cols>
    <col min="1" max="1" width="8.90625" style="1" bestFit="1" customWidth="1"/>
    <col min="2" max="2" width="22.1796875" style="1" bestFit="1" customWidth="1"/>
    <col min="3" max="3" width="16.36328125" style="1" bestFit="1" customWidth="1"/>
    <col min="4" max="4" width="16.36328125" style="6" bestFit="1" customWidth="1"/>
    <col min="5" max="5" width="33.453125" style="6" customWidth="1"/>
    <col min="6" max="6" width="12.6328125" style="6" customWidth="1"/>
    <col min="7" max="8" width="14.7265625" style="6" bestFit="1" customWidth="1"/>
    <col min="9" max="9" width="14.7265625" style="1" bestFit="1" customWidth="1"/>
    <col min="10" max="11" width="8.7265625" style="1"/>
    <col min="12" max="12" width="15.90625" style="1" bestFit="1" customWidth="1"/>
    <col min="13" max="16384" width="8.7265625" style="1"/>
  </cols>
  <sheetData>
    <row r="2" spans="1:12" x14ac:dyDescent="0.35">
      <c r="B2" s="2" t="s">
        <v>0</v>
      </c>
      <c r="C2" s="2" t="s">
        <v>243</v>
      </c>
    </row>
    <row r="3" spans="1:12" x14ac:dyDescent="0.35">
      <c r="D3" s="1"/>
      <c r="E3" s="1"/>
      <c r="F3" s="1"/>
    </row>
    <row r="4" spans="1:12" ht="15" customHeight="1" x14ac:dyDescent="0.35">
      <c r="A4" s="1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8</v>
      </c>
      <c r="I4" s="5" t="s">
        <v>9</v>
      </c>
    </row>
    <row r="5" spans="1:12" ht="15" customHeight="1" x14ac:dyDescent="0.35">
      <c r="A5" s="1" t="s">
        <v>10</v>
      </c>
      <c r="B5" s="2"/>
      <c r="C5" s="3">
        <f>SUM(C6:C80)</f>
        <v>12140</v>
      </c>
      <c r="D5" s="3">
        <f>SUM(D6:D80)</f>
        <v>202.33333333333331</v>
      </c>
      <c r="E5" s="3"/>
      <c r="F5" s="3"/>
      <c r="G5" s="3">
        <f>SUM(G10:G80)</f>
        <v>20.999999999999996</v>
      </c>
      <c r="H5" s="4">
        <f>SUM(H10:H80)</f>
        <v>36.749999999999993</v>
      </c>
      <c r="I5" s="2"/>
    </row>
    <row r="6" spans="1:12" ht="15" customHeight="1" x14ac:dyDescent="0.35">
      <c r="A6" s="1" t="s">
        <v>11</v>
      </c>
      <c r="B6" s="9" t="s">
        <v>155</v>
      </c>
      <c r="C6" s="7">
        <v>150</v>
      </c>
      <c r="D6" s="3">
        <f t="shared" ref="D6:D9" si="0">C6/60</f>
        <v>2.5</v>
      </c>
      <c r="E6" s="3"/>
      <c r="F6" s="3"/>
      <c r="G6" s="3"/>
      <c r="H6" s="4"/>
      <c r="I6" s="2"/>
    </row>
    <row r="7" spans="1:12" ht="15" customHeight="1" x14ac:dyDescent="0.35">
      <c r="A7" s="1" t="s">
        <v>13</v>
      </c>
      <c r="B7" s="9" t="s">
        <v>156</v>
      </c>
      <c r="C7" s="7">
        <v>180</v>
      </c>
      <c r="D7" s="3">
        <f t="shared" si="0"/>
        <v>3</v>
      </c>
      <c r="E7" s="3"/>
      <c r="F7" s="3"/>
      <c r="G7" s="3"/>
      <c r="H7" s="4"/>
      <c r="I7" s="2"/>
    </row>
    <row r="8" spans="1:12" ht="15" customHeight="1" x14ac:dyDescent="0.35">
      <c r="A8" s="1" t="s">
        <v>16</v>
      </c>
      <c r="B8" s="9" t="s">
        <v>157</v>
      </c>
      <c r="C8" s="7">
        <v>180</v>
      </c>
      <c r="D8" s="3">
        <f t="shared" si="0"/>
        <v>3</v>
      </c>
      <c r="E8" s="3"/>
      <c r="F8" s="3"/>
      <c r="G8" s="3"/>
      <c r="H8" s="4"/>
      <c r="I8" s="2"/>
    </row>
    <row r="9" spans="1:12" ht="15" customHeight="1" x14ac:dyDescent="0.35">
      <c r="A9" s="1" t="s">
        <v>19</v>
      </c>
      <c r="B9" s="9" t="s">
        <v>158</v>
      </c>
      <c r="C9" s="7">
        <v>180</v>
      </c>
      <c r="D9" s="3">
        <f t="shared" si="0"/>
        <v>3</v>
      </c>
      <c r="E9" s="3"/>
      <c r="F9" s="3"/>
      <c r="G9" s="3"/>
      <c r="H9" s="4"/>
      <c r="I9" s="2"/>
    </row>
    <row r="10" spans="1:12" ht="14.5" customHeight="1" x14ac:dyDescent="0.35">
      <c r="A10" s="1" t="s">
        <v>22</v>
      </c>
      <c r="B10" s="12" t="s">
        <v>12</v>
      </c>
      <c r="C10" s="7">
        <v>100</v>
      </c>
      <c r="D10" s="3">
        <f>C10/60</f>
        <v>1.6666666666666667</v>
      </c>
      <c r="E10" s="3"/>
      <c r="F10" s="3"/>
      <c r="G10" s="4">
        <f>1/6</f>
        <v>0.16666666666666666</v>
      </c>
      <c r="H10" s="4">
        <f>G10*1.75</f>
        <v>0.29166666666666663</v>
      </c>
      <c r="I10" s="2">
        <v>0</v>
      </c>
    </row>
    <row r="11" spans="1:12" x14ac:dyDescent="0.35">
      <c r="A11" s="1" t="s">
        <v>24</v>
      </c>
      <c r="B11" s="13" t="s">
        <v>14</v>
      </c>
      <c r="C11" s="7">
        <v>120</v>
      </c>
      <c r="D11" s="3">
        <f t="shared" ref="D11:D74" si="1">C11/60</f>
        <v>2</v>
      </c>
      <c r="E11" s="3"/>
      <c r="F11" s="3"/>
      <c r="G11" s="4">
        <f>1/6</f>
        <v>0.16666666666666666</v>
      </c>
      <c r="H11" s="4">
        <f t="shared" ref="H11:H74" si="2">G11*1.75</f>
        <v>0.29166666666666663</v>
      </c>
      <c r="I11" s="2">
        <v>0</v>
      </c>
      <c r="L11" s="1" t="s">
        <v>15</v>
      </c>
    </row>
    <row r="12" spans="1:12" x14ac:dyDescent="0.35">
      <c r="A12" s="1" t="s">
        <v>26</v>
      </c>
      <c r="B12" s="13" t="s">
        <v>17</v>
      </c>
      <c r="C12" s="7">
        <v>60</v>
      </c>
      <c r="D12" s="3">
        <f>C12/60</f>
        <v>1</v>
      </c>
      <c r="E12" s="3"/>
      <c r="F12" s="3"/>
      <c r="G12" s="4">
        <f>1/6</f>
        <v>0.16666666666666666</v>
      </c>
      <c r="H12" s="4">
        <f>G12*1.75</f>
        <v>0.29166666666666663</v>
      </c>
      <c r="I12" s="2">
        <v>0</v>
      </c>
      <c r="L12" s="1" t="s">
        <v>21</v>
      </c>
    </row>
    <row r="13" spans="1:12" x14ac:dyDescent="0.35">
      <c r="A13" s="1" t="s">
        <v>28</v>
      </c>
      <c r="B13" s="13" t="s">
        <v>174</v>
      </c>
      <c r="C13" s="7">
        <v>30</v>
      </c>
      <c r="D13" s="3">
        <f t="shared" si="1"/>
        <v>0.5</v>
      </c>
      <c r="E13" s="3"/>
      <c r="F13" s="3"/>
      <c r="G13" s="4">
        <f>1/6</f>
        <v>0.16666666666666666</v>
      </c>
      <c r="H13" s="4">
        <f t="shared" si="2"/>
        <v>0.29166666666666663</v>
      </c>
      <c r="I13" s="2">
        <v>0</v>
      </c>
      <c r="L13" s="1" t="s">
        <v>18</v>
      </c>
    </row>
    <row r="14" spans="1:12" x14ac:dyDescent="0.35">
      <c r="A14" s="1" t="s">
        <v>30</v>
      </c>
      <c r="B14" s="13" t="s">
        <v>244</v>
      </c>
      <c r="C14" s="7">
        <v>60</v>
      </c>
      <c r="D14" s="3">
        <f t="shared" si="1"/>
        <v>1</v>
      </c>
      <c r="E14" s="3"/>
      <c r="F14" s="3"/>
      <c r="G14" s="4">
        <f>1/6</f>
        <v>0.16666666666666666</v>
      </c>
      <c r="H14" s="4">
        <f t="shared" si="2"/>
        <v>0.29166666666666663</v>
      </c>
      <c r="I14" s="2">
        <v>0</v>
      </c>
    </row>
    <row r="15" spans="1:12" x14ac:dyDescent="0.35">
      <c r="A15" s="1" t="s">
        <v>32</v>
      </c>
      <c r="B15" s="10" t="s">
        <v>175</v>
      </c>
      <c r="C15" s="7">
        <v>30</v>
      </c>
      <c r="D15" s="3">
        <f t="shared" si="1"/>
        <v>0.5</v>
      </c>
      <c r="E15" s="8" t="s">
        <v>26</v>
      </c>
      <c r="F15" s="3"/>
      <c r="G15" s="4">
        <f>1/8</f>
        <v>0.125</v>
      </c>
      <c r="H15" s="4">
        <f t="shared" si="2"/>
        <v>0.21875</v>
      </c>
      <c r="I15" s="2">
        <v>0</v>
      </c>
    </row>
    <row r="16" spans="1:12" x14ac:dyDescent="0.35">
      <c r="A16" s="1" t="s">
        <v>34</v>
      </c>
      <c r="B16" s="10" t="s">
        <v>176</v>
      </c>
      <c r="C16" s="7">
        <v>150</v>
      </c>
      <c r="D16" s="3">
        <f t="shared" si="1"/>
        <v>2.5</v>
      </c>
      <c r="E16" s="3"/>
      <c r="F16" s="3"/>
      <c r="G16" s="4">
        <f>1/8</f>
        <v>0.125</v>
      </c>
      <c r="H16" s="4">
        <f t="shared" si="2"/>
        <v>0.21875</v>
      </c>
      <c r="I16" s="2">
        <v>1</v>
      </c>
    </row>
    <row r="17" spans="1:9" x14ac:dyDescent="0.35">
      <c r="A17" s="1" t="s">
        <v>36</v>
      </c>
      <c r="B17" s="10" t="s">
        <v>177</v>
      </c>
      <c r="C17" s="7">
        <v>180</v>
      </c>
      <c r="D17" s="3">
        <f t="shared" si="1"/>
        <v>3</v>
      </c>
      <c r="E17" s="3" t="s">
        <v>163</v>
      </c>
      <c r="F17" s="3"/>
      <c r="G17" s="4">
        <f>1/8</f>
        <v>0.125</v>
      </c>
      <c r="H17" s="4">
        <f t="shared" si="2"/>
        <v>0.21875</v>
      </c>
      <c r="I17" s="2">
        <v>1</v>
      </c>
    </row>
    <row r="18" spans="1:9" x14ac:dyDescent="0.35">
      <c r="A18" s="1" t="s">
        <v>38</v>
      </c>
      <c r="B18" s="10" t="s">
        <v>178</v>
      </c>
      <c r="C18" s="7">
        <v>180</v>
      </c>
      <c r="D18" s="3">
        <f t="shared" si="1"/>
        <v>3</v>
      </c>
      <c r="E18" s="3"/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x14ac:dyDescent="0.35">
      <c r="A19" s="1" t="s">
        <v>40</v>
      </c>
      <c r="B19" s="10" t="s">
        <v>25</v>
      </c>
      <c r="C19" s="7">
        <v>180</v>
      </c>
      <c r="D19" s="3">
        <f t="shared" si="1"/>
        <v>3</v>
      </c>
      <c r="E19" s="3" t="s">
        <v>164</v>
      </c>
      <c r="F19" s="3"/>
      <c r="G19" s="4">
        <f>1/2</f>
        <v>0.5</v>
      </c>
      <c r="H19" s="4">
        <f t="shared" si="2"/>
        <v>0.875</v>
      </c>
      <c r="I19" s="2">
        <v>1</v>
      </c>
    </row>
    <row r="20" spans="1:9" x14ac:dyDescent="0.35">
      <c r="A20" s="1" t="s">
        <v>42</v>
      </c>
      <c r="B20" s="10" t="s">
        <v>27</v>
      </c>
      <c r="C20" s="7">
        <v>60</v>
      </c>
      <c r="D20" s="3">
        <f t="shared" si="1"/>
        <v>1</v>
      </c>
      <c r="E20" s="3" t="s">
        <v>165</v>
      </c>
      <c r="F20" s="3"/>
      <c r="G20" s="4">
        <f>1/4</f>
        <v>0.25</v>
      </c>
      <c r="H20" s="4">
        <f t="shared" si="2"/>
        <v>0.4375</v>
      </c>
      <c r="I20" s="2">
        <v>0</v>
      </c>
    </row>
    <row r="21" spans="1:9" x14ac:dyDescent="0.35">
      <c r="A21" s="1" t="s">
        <v>44</v>
      </c>
      <c r="B21" s="10" t="s">
        <v>29</v>
      </c>
      <c r="C21" s="7">
        <v>50</v>
      </c>
      <c r="D21" s="3">
        <f t="shared" si="1"/>
        <v>0.83333333333333337</v>
      </c>
      <c r="E21" s="3" t="s">
        <v>30</v>
      </c>
      <c r="F21" s="3"/>
      <c r="G21" s="4">
        <f>1/8</f>
        <v>0.125</v>
      </c>
      <c r="H21" s="4">
        <f t="shared" si="2"/>
        <v>0.21875</v>
      </c>
      <c r="I21" s="2">
        <v>0</v>
      </c>
    </row>
    <row r="22" spans="1:9" x14ac:dyDescent="0.35">
      <c r="A22" s="1" t="s">
        <v>46</v>
      </c>
      <c r="B22" s="10" t="s">
        <v>31</v>
      </c>
      <c r="C22" s="7">
        <v>30</v>
      </c>
      <c r="D22" s="3">
        <f t="shared" si="1"/>
        <v>0.5</v>
      </c>
      <c r="E22" s="3" t="s">
        <v>36</v>
      </c>
      <c r="F22" s="3"/>
      <c r="G22" s="4">
        <f>1/8</f>
        <v>0.125</v>
      </c>
      <c r="H22" s="4">
        <f t="shared" si="2"/>
        <v>0.21875</v>
      </c>
      <c r="I22" s="2">
        <v>0</v>
      </c>
    </row>
    <row r="23" spans="1:9" ht="14.5" customHeight="1" x14ac:dyDescent="0.35">
      <c r="A23" s="1" t="s">
        <v>48</v>
      </c>
      <c r="B23" s="10" t="s">
        <v>33</v>
      </c>
      <c r="C23" s="7">
        <v>50</v>
      </c>
      <c r="D23" s="3">
        <f t="shared" si="1"/>
        <v>0.83333333333333337</v>
      </c>
      <c r="E23" s="3" t="s">
        <v>165</v>
      </c>
      <c r="F23" s="3"/>
      <c r="G23" s="4">
        <v>0.2</v>
      </c>
      <c r="H23" s="4">
        <f t="shared" si="2"/>
        <v>0.35000000000000003</v>
      </c>
      <c r="I23" s="2">
        <v>0</v>
      </c>
    </row>
    <row r="24" spans="1:9" x14ac:dyDescent="0.35">
      <c r="A24" s="1" t="s">
        <v>50</v>
      </c>
      <c r="B24" s="10" t="s">
        <v>35</v>
      </c>
      <c r="C24" s="7">
        <v>90</v>
      </c>
      <c r="D24" s="3">
        <f t="shared" si="1"/>
        <v>1.5</v>
      </c>
      <c r="E24" s="3" t="s">
        <v>40</v>
      </c>
      <c r="F24" s="3"/>
      <c r="G24" s="4">
        <v>0.5</v>
      </c>
      <c r="H24" s="4">
        <f t="shared" si="2"/>
        <v>0.875</v>
      </c>
      <c r="I24" s="2">
        <v>1</v>
      </c>
    </row>
    <row r="25" spans="1:9" x14ac:dyDescent="0.35">
      <c r="A25" s="1" t="s">
        <v>52</v>
      </c>
      <c r="B25" s="10" t="s">
        <v>190</v>
      </c>
      <c r="C25" s="7">
        <v>120</v>
      </c>
      <c r="D25" s="3">
        <f t="shared" si="1"/>
        <v>2</v>
      </c>
      <c r="E25" s="3" t="s">
        <v>36</v>
      </c>
      <c r="F25" s="3"/>
      <c r="G25" s="4">
        <v>0.3</v>
      </c>
      <c r="H25" s="4">
        <f t="shared" si="2"/>
        <v>0.52500000000000002</v>
      </c>
      <c r="I25" s="2">
        <v>1</v>
      </c>
    </row>
    <row r="26" spans="1:9" ht="14.5" customHeight="1" x14ac:dyDescent="0.35">
      <c r="A26" s="1" t="s">
        <v>54</v>
      </c>
      <c r="B26" s="10" t="s">
        <v>39</v>
      </c>
      <c r="C26" s="7">
        <v>150</v>
      </c>
      <c r="D26" s="3">
        <f t="shared" si="1"/>
        <v>2.5</v>
      </c>
      <c r="E26" s="3" t="s">
        <v>36</v>
      </c>
      <c r="F26" s="3"/>
      <c r="G26" s="4">
        <f>1/3</f>
        <v>0.33333333333333331</v>
      </c>
      <c r="H26" s="4">
        <f t="shared" si="2"/>
        <v>0.58333333333333326</v>
      </c>
      <c r="I26" s="2">
        <v>1</v>
      </c>
    </row>
    <row r="27" spans="1:9" x14ac:dyDescent="0.35">
      <c r="A27" s="1" t="s">
        <v>56</v>
      </c>
      <c r="B27" s="10" t="s">
        <v>41</v>
      </c>
      <c r="C27" s="7">
        <v>120</v>
      </c>
      <c r="D27" s="3">
        <f t="shared" si="1"/>
        <v>2</v>
      </c>
      <c r="E27" s="3" t="s">
        <v>34</v>
      </c>
      <c r="F27" s="3"/>
      <c r="G27" s="4">
        <f>1/3</f>
        <v>0.33333333333333331</v>
      </c>
      <c r="H27" s="4">
        <f t="shared" si="2"/>
        <v>0.58333333333333326</v>
      </c>
      <c r="I27" s="2">
        <v>0</v>
      </c>
    </row>
    <row r="28" spans="1:9" x14ac:dyDescent="0.35">
      <c r="A28" s="1" t="s">
        <v>58</v>
      </c>
      <c r="B28" s="10" t="s">
        <v>43</v>
      </c>
      <c r="C28" s="7">
        <v>120</v>
      </c>
      <c r="D28" s="3">
        <f t="shared" si="1"/>
        <v>2</v>
      </c>
      <c r="E28" s="3" t="s">
        <v>50</v>
      </c>
      <c r="F28" s="3"/>
      <c r="G28" s="4">
        <f>1/3</f>
        <v>0.33333333333333331</v>
      </c>
      <c r="H28" s="4">
        <f t="shared" si="2"/>
        <v>0.58333333333333326</v>
      </c>
      <c r="I28" s="2">
        <v>0</v>
      </c>
    </row>
    <row r="29" spans="1:9" x14ac:dyDescent="0.35">
      <c r="A29" s="1" t="s">
        <v>60</v>
      </c>
      <c r="B29" s="10" t="s">
        <v>45</v>
      </c>
      <c r="C29" s="7">
        <v>240</v>
      </c>
      <c r="D29" s="3">
        <f t="shared" si="1"/>
        <v>4</v>
      </c>
      <c r="E29" s="3"/>
      <c r="F29" s="3"/>
      <c r="G29" s="4">
        <v>0.5</v>
      </c>
      <c r="H29" s="4">
        <f t="shared" si="2"/>
        <v>0.875</v>
      </c>
      <c r="I29" s="2">
        <v>1</v>
      </c>
    </row>
    <row r="30" spans="1:9" x14ac:dyDescent="0.35">
      <c r="A30" s="1" t="s">
        <v>62</v>
      </c>
      <c r="B30" s="10" t="s">
        <v>242</v>
      </c>
      <c r="C30" s="7">
        <v>180</v>
      </c>
      <c r="D30" s="3">
        <f t="shared" si="1"/>
        <v>3</v>
      </c>
      <c r="E30" s="3" t="s">
        <v>36</v>
      </c>
      <c r="F30" s="3"/>
      <c r="G30" s="4">
        <v>0.5</v>
      </c>
      <c r="H30" s="4">
        <f t="shared" si="2"/>
        <v>0.875</v>
      </c>
      <c r="I30" s="2">
        <v>0</v>
      </c>
    </row>
    <row r="31" spans="1:9" ht="15" customHeight="1" x14ac:dyDescent="0.35">
      <c r="A31" s="1" t="s">
        <v>64</v>
      </c>
      <c r="B31" s="10" t="s">
        <v>192</v>
      </c>
      <c r="C31" s="7">
        <v>150</v>
      </c>
      <c r="D31" s="3">
        <f t="shared" si="1"/>
        <v>2.5</v>
      </c>
      <c r="E31" s="3" t="s">
        <v>36</v>
      </c>
      <c r="F31" s="3"/>
      <c r="G31" s="4">
        <v>0.25</v>
      </c>
      <c r="H31" s="4">
        <f t="shared" si="2"/>
        <v>0.4375</v>
      </c>
      <c r="I31" s="2">
        <v>0</v>
      </c>
    </row>
    <row r="32" spans="1:9" x14ac:dyDescent="0.35">
      <c r="A32" s="1" t="s">
        <v>66</v>
      </c>
      <c r="B32" s="10" t="s">
        <v>193</v>
      </c>
      <c r="C32" s="7">
        <v>150</v>
      </c>
      <c r="D32" s="3">
        <f t="shared" si="1"/>
        <v>2.5</v>
      </c>
      <c r="E32" s="3" t="s">
        <v>40</v>
      </c>
      <c r="F32" s="3"/>
      <c r="G32" s="4">
        <v>0.25</v>
      </c>
      <c r="H32" s="4">
        <f t="shared" si="2"/>
        <v>0.4375</v>
      </c>
      <c r="I32" s="2">
        <v>0</v>
      </c>
    </row>
    <row r="33" spans="1:9" x14ac:dyDescent="0.35">
      <c r="A33" s="1" t="s">
        <v>68</v>
      </c>
      <c r="B33" s="10" t="s">
        <v>51</v>
      </c>
      <c r="C33" s="7">
        <v>180</v>
      </c>
      <c r="D33" s="3">
        <f t="shared" si="1"/>
        <v>3</v>
      </c>
      <c r="E33" s="3" t="s">
        <v>40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5">
      <c r="A34" s="1" t="s">
        <v>70</v>
      </c>
      <c r="B34" s="11" t="s">
        <v>235</v>
      </c>
      <c r="C34" s="7">
        <v>180</v>
      </c>
      <c r="D34" s="3">
        <f t="shared" si="1"/>
        <v>3</v>
      </c>
      <c r="E34" s="3" t="s">
        <v>40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5">
      <c r="A35" s="1" t="s">
        <v>72</v>
      </c>
      <c r="B35" s="11" t="s">
        <v>199</v>
      </c>
      <c r="C35" s="7">
        <v>80</v>
      </c>
      <c r="D35" s="3">
        <f t="shared" si="1"/>
        <v>1.3333333333333333</v>
      </c>
      <c r="E35" s="3" t="s">
        <v>40</v>
      </c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x14ac:dyDescent="0.35">
      <c r="A36" s="1" t="s">
        <v>74</v>
      </c>
      <c r="B36" s="11" t="s">
        <v>57</v>
      </c>
      <c r="C36" s="7">
        <v>80</v>
      </c>
      <c r="D36" s="3">
        <f t="shared" si="1"/>
        <v>1.3333333333333333</v>
      </c>
      <c r="E36" s="3" t="s">
        <v>64</v>
      </c>
      <c r="F36" s="3"/>
      <c r="G36" s="4">
        <f>1/3</f>
        <v>0.33333333333333331</v>
      </c>
      <c r="H36" s="4">
        <f t="shared" si="2"/>
        <v>0.58333333333333326</v>
      </c>
      <c r="I36" s="2">
        <v>0</v>
      </c>
    </row>
    <row r="37" spans="1:9" x14ac:dyDescent="0.35">
      <c r="A37" s="1" t="s">
        <v>76</v>
      </c>
      <c r="B37" s="11" t="s">
        <v>59</v>
      </c>
      <c r="C37" s="7">
        <v>80</v>
      </c>
      <c r="D37" s="3">
        <f t="shared" si="1"/>
        <v>1.3333333333333333</v>
      </c>
      <c r="E37" s="3" t="s">
        <v>74</v>
      </c>
      <c r="F37" s="3"/>
      <c r="G37" s="4">
        <f>1/6</f>
        <v>0.16666666666666666</v>
      </c>
      <c r="H37" s="4">
        <f t="shared" si="2"/>
        <v>0.29166666666666663</v>
      </c>
      <c r="I37" s="2">
        <v>0</v>
      </c>
    </row>
    <row r="38" spans="1:9" x14ac:dyDescent="0.35">
      <c r="A38" s="1" t="s">
        <v>78</v>
      </c>
      <c r="B38" s="11" t="s">
        <v>200</v>
      </c>
      <c r="C38" s="7">
        <v>120</v>
      </c>
      <c r="D38" s="3">
        <f t="shared" si="1"/>
        <v>2</v>
      </c>
      <c r="E38" s="3" t="s">
        <v>68</v>
      </c>
      <c r="F38" s="3"/>
      <c r="G38" s="4">
        <f>1/6</f>
        <v>0.16666666666666666</v>
      </c>
      <c r="H38" s="4">
        <f t="shared" si="2"/>
        <v>0.29166666666666663</v>
      </c>
      <c r="I38" s="2">
        <v>0</v>
      </c>
    </row>
    <row r="39" spans="1:9" x14ac:dyDescent="0.35">
      <c r="A39" s="1" t="s">
        <v>80</v>
      </c>
      <c r="B39" s="11" t="s">
        <v>63</v>
      </c>
      <c r="C39" s="7">
        <v>120</v>
      </c>
      <c r="D39" s="3">
        <f t="shared" si="1"/>
        <v>2</v>
      </c>
      <c r="E39" s="3"/>
      <c r="F39" s="3"/>
      <c r="G39" s="4">
        <f>1/6</f>
        <v>0.16666666666666666</v>
      </c>
      <c r="H39" s="4">
        <f t="shared" si="2"/>
        <v>0.29166666666666663</v>
      </c>
      <c r="I39" s="2">
        <v>0</v>
      </c>
    </row>
    <row r="40" spans="1:9" ht="14.5" customHeight="1" x14ac:dyDescent="0.35">
      <c r="A40" s="1" t="s">
        <v>82</v>
      </c>
      <c r="B40" s="11" t="s">
        <v>65</v>
      </c>
      <c r="C40" s="7">
        <v>240</v>
      </c>
      <c r="D40" s="3">
        <f t="shared" si="1"/>
        <v>4</v>
      </c>
      <c r="E40" s="3" t="s">
        <v>60</v>
      </c>
      <c r="F40" s="3"/>
      <c r="G40" s="4">
        <f t="shared" ref="G40:G45" si="3">1/3</f>
        <v>0.33333333333333331</v>
      </c>
      <c r="H40" s="4">
        <f t="shared" si="2"/>
        <v>0.58333333333333326</v>
      </c>
      <c r="I40" s="2">
        <v>0</v>
      </c>
    </row>
    <row r="41" spans="1:9" x14ac:dyDescent="0.35">
      <c r="A41" s="1" t="s">
        <v>84</v>
      </c>
      <c r="B41" s="11" t="s">
        <v>67</v>
      </c>
      <c r="C41" s="7">
        <v>180</v>
      </c>
      <c r="D41" s="3">
        <f t="shared" si="1"/>
        <v>3</v>
      </c>
      <c r="E41" s="3" t="s">
        <v>166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5">
      <c r="A42" s="1" t="s">
        <v>86</v>
      </c>
      <c r="B42" s="11" t="s">
        <v>69</v>
      </c>
      <c r="C42" s="7">
        <v>240</v>
      </c>
      <c r="D42" s="3">
        <f t="shared" si="1"/>
        <v>4</v>
      </c>
      <c r="E42" s="3"/>
      <c r="F42" s="3"/>
      <c r="G42" s="4">
        <f t="shared" si="3"/>
        <v>0.33333333333333331</v>
      </c>
      <c r="H42" s="4">
        <f t="shared" si="2"/>
        <v>0.58333333333333326</v>
      </c>
      <c r="I42" s="2">
        <v>0</v>
      </c>
    </row>
    <row r="43" spans="1:9" ht="14.5" customHeight="1" x14ac:dyDescent="0.35">
      <c r="A43" s="1" t="s">
        <v>88</v>
      </c>
      <c r="B43" s="11" t="s">
        <v>73</v>
      </c>
      <c r="C43" s="7">
        <v>150</v>
      </c>
      <c r="D43" s="3">
        <f t="shared" si="1"/>
        <v>2.5</v>
      </c>
      <c r="E43" s="3"/>
      <c r="F43" s="3"/>
      <c r="G43" s="4">
        <f t="shared" si="3"/>
        <v>0.33333333333333331</v>
      </c>
      <c r="H43" s="4">
        <f t="shared" si="2"/>
        <v>0.58333333333333326</v>
      </c>
      <c r="I43" s="2">
        <v>0</v>
      </c>
    </row>
    <row r="44" spans="1:9" x14ac:dyDescent="0.35">
      <c r="A44" s="1" t="s">
        <v>90</v>
      </c>
      <c r="B44" s="11" t="s">
        <v>75</v>
      </c>
      <c r="C44" s="7">
        <v>120</v>
      </c>
      <c r="D44" s="3">
        <f t="shared" si="1"/>
        <v>2</v>
      </c>
      <c r="E44" s="3" t="s">
        <v>78</v>
      </c>
      <c r="F44" s="3"/>
      <c r="G44" s="4">
        <f t="shared" si="3"/>
        <v>0.33333333333333331</v>
      </c>
      <c r="H44" s="4">
        <f t="shared" si="2"/>
        <v>0.58333333333333326</v>
      </c>
      <c r="I44" s="2">
        <v>1</v>
      </c>
    </row>
    <row r="45" spans="1:9" x14ac:dyDescent="0.35">
      <c r="A45" s="1" t="s">
        <v>92</v>
      </c>
      <c r="B45" s="11" t="s">
        <v>77</v>
      </c>
      <c r="C45" s="7">
        <v>120</v>
      </c>
      <c r="D45" s="3">
        <f t="shared" si="1"/>
        <v>2</v>
      </c>
      <c r="E45" s="3" t="s">
        <v>60</v>
      </c>
      <c r="F45" s="3"/>
      <c r="G45" s="4">
        <f t="shared" si="3"/>
        <v>0.33333333333333331</v>
      </c>
      <c r="H45" s="4">
        <f t="shared" si="2"/>
        <v>0.58333333333333326</v>
      </c>
      <c r="I45" s="2">
        <v>0</v>
      </c>
    </row>
    <row r="46" spans="1:9" x14ac:dyDescent="0.35">
      <c r="A46" s="1" t="s">
        <v>94</v>
      </c>
      <c r="B46" s="11" t="s">
        <v>79</v>
      </c>
      <c r="C46" s="7">
        <v>240</v>
      </c>
      <c r="D46" s="3">
        <f t="shared" si="1"/>
        <v>4</v>
      </c>
      <c r="E46" s="3" t="s">
        <v>90</v>
      </c>
      <c r="F46" s="3"/>
      <c r="G46" s="4">
        <v>0.3</v>
      </c>
      <c r="H46" s="4">
        <f t="shared" si="2"/>
        <v>0.52500000000000002</v>
      </c>
      <c r="I46" s="2">
        <v>0</v>
      </c>
    </row>
    <row r="47" spans="1:9" x14ac:dyDescent="0.35">
      <c r="A47" s="1" t="s">
        <v>96</v>
      </c>
      <c r="B47" s="11" t="s">
        <v>81</v>
      </c>
      <c r="C47" s="7">
        <v>150</v>
      </c>
      <c r="D47" s="3">
        <f t="shared" si="1"/>
        <v>2.5</v>
      </c>
      <c r="E47" s="3" t="s">
        <v>167</v>
      </c>
      <c r="F47" s="3"/>
      <c r="G47" s="4">
        <v>0.3</v>
      </c>
      <c r="H47" s="4">
        <f t="shared" si="2"/>
        <v>0.52500000000000002</v>
      </c>
      <c r="I47" s="2">
        <v>0</v>
      </c>
    </row>
    <row r="48" spans="1:9" x14ac:dyDescent="0.35">
      <c r="A48" s="1" t="s">
        <v>98</v>
      </c>
      <c r="B48" s="11" t="s">
        <v>83</v>
      </c>
      <c r="C48" s="7">
        <v>240</v>
      </c>
      <c r="D48" s="3">
        <f t="shared" si="1"/>
        <v>4</v>
      </c>
      <c r="E48" s="3" t="s">
        <v>168</v>
      </c>
      <c r="F48" s="3"/>
      <c r="G48" s="4">
        <v>0.3</v>
      </c>
      <c r="H48" s="4">
        <f t="shared" si="2"/>
        <v>0.52500000000000002</v>
      </c>
      <c r="I48" s="2">
        <v>0</v>
      </c>
    </row>
    <row r="49" spans="1:9" x14ac:dyDescent="0.35">
      <c r="A49" s="1" t="s">
        <v>100</v>
      </c>
      <c r="B49" s="11" t="s">
        <v>87</v>
      </c>
      <c r="C49" s="7">
        <v>280</v>
      </c>
      <c r="D49" s="3">
        <f t="shared" si="1"/>
        <v>4.666666666666667</v>
      </c>
      <c r="E49" s="3" t="s">
        <v>90</v>
      </c>
      <c r="F49" s="3"/>
      <c r="G49" s="4">
        <v>0.1</v>
      </c>
      <c r="H49" s="4">
        <f t="shared" si="2"/>
        <v>0.17500000000000002</v>
      </c>
      <c r="I49" s="2">
        <v>0</v>
      </c>
    </row>
    <row r="50" spans="1:9" x14ac:dyDescent="0.35">
      <c r="A50" s="1" t="s">
        <v>102</v>
      </c>
      <c r="B50" s="11" t="s">
        <v>89</v>
      </c>
      <c r="C50" s="7">
        <v>240</v>
      </c>
      <c r="D50" s="3">
        <f t="shared" si="1"/>
        <v>4</v>
      </c>
      <c r="E50" s="3" t="s">
        <v>52</v>
      </c>
      <c r="F50" s="3"/>
      <c r="G50" s="4">
        <v>0.25</v>
      </c>
      <c r="H50" s="4">
        <f t="shared" si="2"/>
        <v>0.4375</v>
      </c>
      <c r="I50" s="2">
        <v>0</v>
      </c>
    </row>
    <row r="51" spans="1:9" x14ac:dyDescent="0.35">
      <c r="A51" s="1" t="s">
        <v>104</v>
      </c>
      <c r="B51" s="11" t="s">
        <v>91</v>
      </c>
      <c r="C51" s="7">
        <v>180</v>
      </c>
      <c r="D51" s="3">
        <f t="shared" si="1"/>
        <v>3</v>
      </c>
      <c r="E51" s="3" t="s">
        <v>90</v>
      </c>
      <c r="F51" s="3"/>
      <c r="G51" s="4">
        <v>0.25</v>
      </c>
      <c r="H51" s="4">
        <f t="shared" si="2"/>
        <v>0.4375</v>
      </c>
      <c r="I51" s="2">
        <v>0</v>
      </c>
    </row>
    <row r="52" spans="1:9" x14ac:dyDescent="0.35">
      <c r="A52" s="1" t="s">
        <v>106</v>
      </c>
      <c r="B52" s="11" t="s">
        <v>236</v>
      </c>
      <c r="C52" s="7">
        <v>150</v>
      </c>
      <c r="D52" s="3">
        <f t="shared" si="1"/>
        <v>2.5</v>
      </c>
      <c r="E52" s="3" t="s">
        <v>66</v>
      </c>
      <c r="F52" s="3"/>
      <c r="G52" s="4">
        <v>0.25</v>
      </c>
      <c r="H52" s="4">
        <f t="shared" si="2"/>
        <v>0.4375</v>
      </c>
      <c r="I52" s="2">
        <v>0</v>
      </c>
    </row>
    <row r="53" spans="1:9" x14ac:dyDescent="0.35">
      <c r="A53" s="1" t="s">
        <v>108</v>
      </c>
      <c r="B53" s="11" t="s">
        <v>93</v>
      </c>
      <c r="C53" s="7">
        <v>180</v>
      </c>
      <c r="D53" s="3">
        <f t="shared" si="1"/>
        <v>3</v>
      </c>
      <c r="E53" s="3" t="s">
        <v>36</v>
      </c>
      <c r="F53" s="3"/>
      <c r="G53" s="4">
        <v>0.25</v>
      </c>
      <c r="H53" s="4">
        <f t="shared" si="2"/>
        <v>0.4375</v>
      </c>
      <c r="I53" s="2">
        <v>0</v>
      </c>
    </row>
    <row r="54" spans="1:9" x14ac:dyDescent="0.35">
      <c r="A54" s="1" t="s">
        <v>110</v>
      </c>
      <c r="B54" s="11" t="s">
        <v>205</v>
      </c>
      <c r="C54" s="7">
        <v>180</v>
      </c>
      <c r="D54" s="3">
        <f t="shared" si="1"/>
        <v>3</v>
      </c>
      <c r="E54" s="3" t="s">
        <v>36</v>
      </c>
      <c r="F54" s="3"/>
      <c r="G54" s="4">
        <v>0.25</v>
      </c>
      <c r="H54" s="4">
        <f t="shared" si="2"/>
        <v>0.4375</v>
      </c>
      <c r="I54" s="2">
        <v>1</v>
      </c>
    </row>
    <row r="55" spans="1:9" x14ac:dyDescent="0.35">
      <c r="A55" s="1" t="s">
        <v>112</v>
      </c>
      <c r="B55" s="11" t="s">
        <v>95</v>
      </c>
      <c r="C55" s="7">
        <v>240</v>
      </c>
      <c r="D55" s="3">
        <f t="shared" si="1"/>
        <v>4</v>
      </c>
      <c r="E55" s="3" t="s">
        <v>110</v>
      </c>
      <c r="F55" s="3"/>
      <c r="G55" s="4">
        <v>0.25</v>
      </c>
      <c r="H55" s="4">
        <f t="shared" si="2"/>
        <v>0.4375</v>
      </c>
      <c r="I55" s="2">
        <v>1</v>
      </c>
    </row>
    <row r="56" spans="1:9" x14ac:dyDescent="0.35">
      <c r="A56" s="1" t="s">
        <v>114</v>
      </c>
      <c r="B56" s="11" t="s">
        <v>97</v>
      </c>
      <c r="C56" s="7">
        <v>180</v>
      </c>
      <c r="D56" s="3">
        <f t="shared" si="1"/>
        <v>3</v>
      </c>
      <c r="E56" s="3" t="s">
        <v>112</v>
      </c>
      <c r="F56" s="3"/>
      <c r="G56" s="4">
        <v>0.25</v>
      </c>
      <c r="H56" s="4">
        <f t="shared" si="2"/>
        <v>0.4375</v>
      </c>
      <c r="I56" s="2">
        <v>1</v>
      </c>
    </row>
    <row r="57" spans="1:9" x14ac:dyDescent="0.35">
      <c r="A57" s="1" t="s">
        <v>116</v>
      </c>
      <c r="B57" s="11" t="s">
        <v>99</v>
      </c>
      <c r="C57" s="7">
        <v>50</v>
      </c>
      <c r="D57" s="3">
        <f t="shared" si="1"/>
        <v>0.83333333333333337</v>
      </c>
      <c r="E57" s="3" t="s">
        <v>169</v>
      </c>
      <c r="F57" s="3"/>
      <c r="G57" s="4">
        <v>0.25</v>
      </c>
      <c r="H57" s="4">
        <f t="shared" si="2"/>
        <v>0.4375</v>
      </c>
      <c r="I57" s="2">
        <v>1</v>
      </c>
    </row>
    <row r="58" spans="1:9" x14ac:dyDescent="0.35">
      <c r="A58" s="1" t="s">
        <v>118</v>
      </c>
      <c r="B58" s="11" t="s">
        <v>101</v>
      </c>
      <c r="C58" s="7">
        <v>180</v>
      </c>
      <c r="D58" s="3">
        <f t="shared" si="1"/>
        <v>3</v>
      </c>
      <c r="E58" s="3" t="s">
        <v>102</v>
      </c>
      <c r="F58" s="3"/>
      <c r="G58" s="4">
        <v>0.5</v>
      </c>
      <c r="H58" s="4">
        <f t="shared" si="2"/>
        <v>0.875</v>
      </c>
      <c r="I58" s="2">
        <v>1</v>
      </c>
    </row>
    <row r="59" spans="1:9" x14ac:dyDescent="0.35">
      <c r="A59" s="1" t="s">
        <v>120</v>
      </c>
      <c r="B59" s="11" t="s">
        <v>103</v>
      </c>
      <c r="C59" s="7">
        <v>180</v>
      </c>
      <c r="D59" s="3">
        <f t="shared" si="1"/>
        <v>3</v>
      </c>
      <c r="E59" s="3" t="s">
        <v>118</v>
      </c>
      <c r="F59" s="3"/>
      <c r="G59" s="4">
        <v>0.5</v>
      </c>
      <c r="H59" s="4">
        <f t="shared" si="2"/>
        <v>0.875</v>
      </c>
      <c r="I59" s="2">
        <v>0</v>
      </c>
    </row>
    <row r="60" spans="1:9" x14ac:dyDescent="0.35">
      <c r="A60" s="1" t="s">
        <v>122</v>
      </c>
      <c r="B60" s="11" t="s">
        <v>105</v>
      </c>
      <c r="C60" s="7">
        <v>180</v>
      </c>
      <c r="D60" s="3">
        <f t="shared" si="1"/>
        <v>3</v>
      </c>
      <c r="E60" s="3"/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5">
      <c r="A61" s="1" t="s">
        <v>124</v>
      </c>
      <c r="B61" s="11" t="s">
        <v>107</v>
      </c>
      <c r="C61" s="7">
        <v>180</v>
      </c>
      <c r="D61" s="3">
        <f t="shared" si="1"/>
        <v>3</v>
      </c>
      <c r="E61" s="3" t="s">
        <v>90</v>
      </c>
      <c r="F61" s="3"/>
      <c r="G61" s="4">
        <f>1/6</f>
        <v>0.16666666666666666</v>
      </c>
      <c r="H61" s="4">
        <f t="shared" si="2"/>
        <v>0.29166666666666663</v>
      </c>
      <c r="I61" s="2">
        <v>0</v>
      </c>
    </row>
    <row r="62" spans="1:9" x14ac:dyDescent="0.35">
      <c r="A62" s="1" t="s">
        <v>126</v>
      </c>
      <c r="B62" s="11" t="s">
        <v>109</v>
      </c>
      <c r="C62" s="7">
        <v>180</v>
      </c>
      <c r="D62" s="3">
        <f t="shared" si="1"/>
        <v>3</v>
      </c>
      <c r="E62" s="3" t="s">
        <v>90</v>
      </c>
      <c r="F62" s="3"/>
      <c r="G62" s="4">
        <f>1/6</f>
        <v>0.16666666666666666</v>
      </c>
      <c r="H62" s="4">
        <f t="shared" si="2"/>
        <v>0.29166666666666663</v>
      </c>
      <c r="I62" s="2">
        <v>0</v>
      </c>
    </row>
    <row r="63" spans="1:9" x14ac:dyDescent="0.35">
      <c r="A63" s="1" t="s">
        <v>128</v>
      </c>
      <c r="B63" s="11" t="s">
        <v>111</v>
      </c>
      <c r="C63" s="7">
        <v>150</v>
      </c>
      <c r="D63" s="3">
        <f t="shared" si="1"/>
        <v>2.5</v>
      </c>
      <c r="E63" s="3" t="s">
        <v>122</v>
      </c>
      <c r="F63" s="3"/>
      <c r="G63" s="4">
        <f>1/6</f>
        <v>0.16666666666666666</v>
      </c>
      <c r="H63" s="4">
        <f t="shared" si="2"/>
        <v>0.29166666666666663</v>
      </c>
      <c r="I63" s="2">
        <v>1</v>
      </c>
    </row>
    <row r="64" spans="1:9" x14ac:dyDescent="0.35">
      <c r="A64" s="1" t="s">
        <v>130</v>
      </c>
      <c r="B64" s="11" t="s">
        <v>113</v>
      </c>
      <c r="C64" s="7">
        <v>120</v>
      </c>
      <c r="D64" s="3">
        <f t="shared" si="1"/>
        <v>2</v>
      </c>
      <c r="E64" s="3" t="s">
        <v>170</v>
      </c>
      <c r="F64" s="3"/>
      <c r="G64" s="4">
        <f>1/6</f>
        <v>0.16666666666666666</v>
      </c>
      <c r="H64" s="4">
        <f t="shared" si="2"/>
        <v>0.29166666666666663</v>
      </c>
      <c r="I64" s="2">
        <v>0</v>
      </c>
    </row>
    <row r="65" spans="1:9" x14ac:dyDescent="0.35">
      <c r="A65" s="1" t="s">
        <v>132</v>
      </c>
      <c r="B65" s="11" t="s">
        <v>115</v>
      </c>
      <c r="C65" s="7">
        <v>150</v>
      </c>
      <c r="D65" s="3">
        <f t="shared" si="1"/>
        <v>2.5</v>
      </c>
      <c r="E65" s="3" t="s">
        <v>170</v>
      </c>
      <c r="F65" s="3"/>
      <c r="G65" s="4">
        <v>0.5</v>
      </c>
      <c r="H65" s="4">
        <f t="shared" si="2"/>
        <v>0.875</v>
      </c>
      <c r="I65" s="2">
        <v>0</v>
      </c>
    </row>
    <row r="66" spans="1:9" x14ac:dyDescent="0.35">
      <c r="A66" s="1" t="s">
        <v>134</v>
      </c>
      <c r="B66" s="11" t="s">
        <v>117</v>
      </c>
      <c r="C66" s="7">
        <v>180</v>
      </c>
      <c r="D66" s="3">
        <f t="shared" si="1"/>
        <v>3</v>
      </c>
      <c r="E66" s="3" t="s">
        <v>132</v>
      </c>
      <c r="F66" s="3"/>
      <c r="G66" s="4">
        <v>0.5</v>
      </c>
      <c r="H66" s="4">
        <f t="shared" si="2"/>
        <v>0.875</v>
      </c>
      <c r="I66" s="2">
        <v>0</v>
      </c>
    </row>
    <row r="67" spans="1:9" x14ac:dyDescent="0.35">
      <c r="A67" s="1" t="s">
        <v>136</v>
      </c>
      <c r="B67" s="11" t="s">
        <v>119</v>
      </c>
      <c r="C67" s="7">
        <v>150</v>
      </c>
      <c r="D67" s="3">
        <f t="shared" si="1"/>
        <v>2.5</v>
      </c>
      <c r="E67" s="3"/>
      <c r="F67" s="3"/>
      <c r="G67" s="4">
        <f>1/6</f>
        <v>0.16666666666666666</v>
      </c>
      <c r="H67" s="4">
        <f t="shared" si="2"/>
        <v>0.29166666666666663</v>
      </c>
      <c r="I67" s="2">
        <v>0</v>
      </c>
    </row>
    <row r="68" spans="1:9" x14ac:dyDescent="0.35">
      <c r="A68" s="1" t="s">
        <v>138</v>
      </c>
      <c r="B68" s="11" t="s">
        <v>121</v>
      </c>
      <c r="C68" s="7">
        <v>240</v>
      </c>
      <c r="D68" s="3">
        <f t="shared" si="1"/>
        <v>4</v>
      </c>
      <c r="E68" s="3" t="s">
        <v>118</v>
      </c>
      <c r="F68" s="3"/>
      <c r="G68" s="4">
        <f t="shared" ref="G68:G74" si="4">1/3</f>
        <v>0.33333333333333331</v>
      </c>
      <c r="H68" s="4">
        <f t="shared" si="2"/>
        <v>0.58333333333333326</v>
      </c>
      <c r="I68" s="2">
        <v>0</v>
      </c>
    </row>
    <row r="69" spans="1:9" x14ac:dyDescent="0.35">
      <c r="A69" s="1" t="s">
        <v>140</v>
      </c>
      <c r="B69" s="11" t="s">
        <v>125</v>
      </c>
      <c r="C69" s="7">
        <v>240</v>
      </c>
      <c r="D69" s="3">
        <f t="shared" si="1"/>
        <v>4</v>
      </c>
      <c r="E69" s="3" t="s">
        <v>118</v>
      </c>
      <c r="F69" s="3"/>
      <c r="G69" s="4">
        <f t="shared" si="4"/>
        <v>0.33333333333333331</v>
      </c>
      <c r="H69" s="4">
        <f t="shared" si="2"/>
        <v>0.58333333333333326</v>
      </c>
      <c r="I69" s="2">
        <v>0</v>
      </c>
    </row>
    <row r="70" spans="1:9" x14ac:dyDescent="0.35">
      <c r="A70" s="1" t="s">
        <v>142</v>
      </c>
      <c r="B70" s="11" t="s">
        <v>237</v>
      </c>
      <c r="C70" s="7">
        <v>120</v>
      </c>
      <c r="D70" s="3">
        <f t="shared" si="1"/>
        <v>2</v>
      </c>
      <c r="E70" s="3" t="s">
        <v>132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5">
      <c r="A71" s="1" t="s">
        <v>144</v>
      </c>
      <c r="B71" s="11" t="s">
        <v>131</v>
      </c>
      <c r="C71" s="7">
        <v>240</v>
      </c>
      <c r="D71" s="3">
        <f t="shared" si="1"/>
        <v>4</v>
      </c>
      <c r="E71" s="3"/>
      <c r="F71" s="3"/>
      <c r="G71" s="4">
        <f t="shared" si="4"/>
        <v>0.33333333333333331</v>
      </c>
      <c r="H71" s="4">
        <f t="shared" si="2"/>
        <v>0.58333333333333326</v>
      </c>
      <c r="I71" s="2">
        <v>0</v>
      </c>
    </row>
    <row r="72" spans="1:9" x14ac:dyDescent="0.35">
      <c r="A72" s="1" t="s">
        <v>146</v>
      </c>
      <c r="B72" s="11" t="s">
        <v>133</v>
      </c>
      <c r="C72" s="7">
        <v>180</v>
      </c>
      <c r="D72" s="3">
        <f t="shared" si="1"/>
        <v>3</v>
      </c>
      <c r="E72" s="3" t="s">
        <v>138</v>
      </c>
      <c r="F72" s="3"/>
      <c r="G72" s="4">
        <f t="shared" si="4"/>
        <v>0.33333333333333331</v>
      </c>
      <c r="H72" s="4">
        <f t="shared" si="2"/>
        <v>0.58333333333333326</v>
      </c>
      <c r="I72" s="2">
        <v>1</v>
      </c>
    </row>
    <row r="73" spans="1:9" x14ac:dyDescent="0.35">
      <c r="A73" s="1" t="s">
        <v>148</v>
      </c>
      <c r="B73" s="11" t="s">
        <v>135</v>
      </c>
      <c r="C73" s="7">
        <v>150</v>
      </c>
      <c r="D73" s="3">
        <f t="shared" si="1"/>
        <v>2.5</v>
      </c>
      <c r="E73" s="3" t="s">
        <v>142</v>
      </c>
      <c r="F73" s="3"/>
      <c r="G73" s="4">
        <f t="shared" si="4"/>
        <v>0.33333333333333331</v>
      </c>
      <c r="H73" s="4">
        <f t="shared" si="2"/>
        <v>0.58333333333333326</v>
      </c>
      <c r="I73" s="2">
        <v>1</v>
      </c>
    </row>
    <row r="74" spans="1:9" x14ac:dyDescent="0.35">
      <c r="A74" s="1" t="s">
        <v>150</v>
      </c>
      <c r="B74" s="11" t="s">
        <v>238</v>
      </c>
      <c r="C74" s="7">
        <v>180</v>
      </c>
      <c r="D74" s="3">
        <f t="shared" si="1"/>
        <v>3</v>
      </c>
      <c r="E74" s="3" t="s">
        <v>148</v>
      </c>
      <c r="F74" s="3"/>
      <c r="G74" s="4">
        <f t="shared" si="4"/>
        <v>0.33333333333333331</v>
      </c>
      <c r="H74" s="4">
        <f t="shared" si="2"/>
        <v>0.58333333333333326</v>
      </c>
      <c r="I74" s="2">
        <v>0</v>
      </c>
    </row>
    <row r="75" spans="1:9" x14ac:dyDescent="0.35">
      <c r="A75" s="1" t="s">
        <v>152</v>
      </c>
      <c r="B75" s="11" t="s">
        <v>137</v>
      </c>
      <c r="C75" s="7">
        <v>240</v>
      </c>
      <c r="D75" s="3">
        <f t="shared" ref="D75:D80" si="5">C75/60</f>
        <v>4</v>
      </c>
      <c r="E75" s="8" t="s">
        <v>173</v>
      </c>
      <c r="F75" s="3"/>
      <c r="G75" s="4">
        <v>0.5</v>
      </c>
      <c r="H75" s="4">
        <f t="shared" ref="H75:H79" si="6">G75*1.75</f>
        <v>0.875</v>
      </c>
      <c r="I75" s="2">
        <v>0</v>
      </c>
    </row>
    <row r="76" spans="1:9" x14ac:dyDescent="0.35">
      <c r="A76" s="1" t="s">
        <v>154</v>
      </c>
      <c r="B76" s="11" t="s">
        <v>206</v>
      </c>
      <c r="C76" s="7">
        <v>180</v>
      </c>
      <c r="D76" s="3">
        <f t="shared" si="5"/>
        <v>3</v>
      </c>
      <c r="E76" s="3"/>
      <c r="F76" s="3"/>
      <c r="G76" s="4">
        <v>0.5</v>
      </c>
      <c r="H76" s="4">
        <f t="shared" si="6"/>
        <v>0.875</v>
      </c>
      <c r="I76" s="2">
        <v>1</v>
      </c>
    </row>
    <row r="77" spans="1:9" x14ac:dyDescent="0.35">
      <c r="A77" s="1" t="s">
        <v>159</v>
      </c>
      <c r="B77" s="11" t="s">
        <v>61</v>
      </c>
      <c r="C77" s="7">
        <v>180</v>
      </c>
      <c r="D77" s="3">
        <f t="shared" si="5"/>
        <v>3</v>
      </c>
      <c r="E77" s="3" t="s">
        <v>146</v>
      </c>
      <c r="F77" s="3"/>
      <c r="G77" s="4">
        <v>0.5</v>
      </c>
      <c r="H77" s="4">
        <f t="shared" si="6"/>
        <v>0.875</v>
      </c>
      <c r="I77" s="2">
        <v>0</v>
      </c>
    </row>
    <row r="78" spans="1:9" x14ac:dyDescent="0.35">
      <c r="A78" s="1" t="s">
        <v>160</v>
      </c>
      <c r="B78" s="11" t="s">
        <v>239</v>
      </c>
      <c r="C78" s="7">
        <v>240</v>
      </c>
      <c r="D78" s="3">
        <f t="shared" si="5"/>
        <v>4</v>
      </c>
      <c r="E78" s="3" t="s">
        <v>171</v>
      </c>
      <c r="F78" s="3"/>
      <c r="G78" s="4">
        <v>1</v>
      </c>
      <c r="H78" s="4">
        <f t="shared" si="6"/>
        <v>1.75</v>
      </c>
      <c r="I78" s="2">
        <v>0</v>
      </c>
    </row>
    <row r="79" spans="1:9" x14ac:dyDescent="0.35">
      <c r="A79" s="1" t="s">
        <v>161</v>
      </c>
      <c r="B79" s="11" t="s">
        <v>187</v>
      </c>
      <c r="C79" s="7">
        <v>510</v>
      </c>
      <c r="D79" s="3">
        <f t="shared" si="5"/>
        <v>8.5</v>
      </c>
      <c r="E79" s="3" t="s">
        <v>172</v>
      </c>
      <c r="F79" s="3"/>
      <c r="G79" s="4">
        <v>0.5</v>
      </c>
      <c r="H79" s="4">
        <f t="shared" si="6"/>
        <v>0.875</v>
      </c>
      <c r="I79" s="2">
        <v>0</v>
      </c>
    </row>
    <row r="80" spans="1:9" x14ac:dyDescent="0.35">
      <c r="A80" s="1" t="s">
        <v>162</v>
      </c>
      <c r="B80" s="11" t="s">
        <v>143</v>
      </c>
      <c r="C80" s="7">
        <v>300</v>
      </c>
      <c r="D80" s="3">
        <f t="shared" si="5"/>
        <v>5</v>
      </c>
      <c r="E80" s="3"/>
      <c r="F80" s="3"/>
      <c r="G80" s="4">
        <v>0.5</v>
      </c>
      <c r="H80" s="4">
        <f>G80*1.75</f>
        <v>0.875</v>
      </c>
      <c r="I80" s="2">
        <v>0</v>
      </c>
    </row>
    <row r="81" spans="1:9" x14ac:dyDescent="0.35">
      <c r="A81" s="1" t="s">
        <v>211</v>
      </c>
      <c r="B81" s="11" t="s">
        <v>143</v>
      </c>
      <c r="G81" s="4">
        <f>SUM(G10:G80)</f>
        <v>20.999999999999996</v>
      </c>
      <c r="H81" s="4">
        <f>SUM(H10:H80)</f>
        <v>36.749999999999993</v>
      </c>
      <c r="I81" s="2"/>
    </row>
    <row r="82" spans="1:9" x14ac:dyDescent="0.35">
      <c r="A82" s="1" t="s">
        <v>212</v>
      </c>
      <c r="B82" s="11" t="s">
        <v>209</v>
      </c>
    </row>
    <row r="83" spans="1:9" x14ac:dyDescent="0.35">
      <c r="A83" s="1" t="s">
        <v>213</v>
      </c>
      <c r="B83" s="11" t="s">
        <v>145</v>
      </c>
    </row>
    <row r="84" spans="1:9" x14ac:dyDescent="0.35">
      <c r="A84" s="1" t="s">
        <v>214</v>
      </c>
      <c r="B84" s="11" t="s">
        <v>188</v>
      </c>
    </row>
    <row r="85" spans="1:9" x14ac:dyDescent="0.35">
      <c r="A85" s="1" t="s">
        <v>215</v>
      </c>
      <c r="B85" s="11" t="s">
        <v>210</v>
      </c>
    </row>
    <row r="86" spans="1:9" x14ac:dyDescent="0.35">
      <c r="A86" s="1" t="s">
        <v>216</v>
      </c>
      <c r="B86" s="11" t="s">
        <v>151</v>
      </c>
    </row>
    <row r="87" spans="1:9" x14ac:dyDescent="0.35">
      <c r="A87" s="1" t="s">
        <v>217</v>
      </c>
      <c r="B87" s="11" t="s">
        <v>153</v>
      </c>
    </row>
    <row r="88" spans="1:9" x14ac:dyDescent="0.35">
      <c r="A88" s="1" t="s">
        <v>218</v>
      </c>
    </row>
    <row r="89" spans="1:9" x14ac:dyDescent="0.35">
      <c r="A89" s="1" t="s">
        <v>219</v>
      </c>
    </row>
    <row r="90" spans="1:9" x14ac:dyDescent="0.35">
      <c r="A90" s="1" t="s">
        <v>220</v>
      </c>
    </row>
    <row r="91" spans="1:9" x14ac:dyDescent="0.35">
      <c r="A91" s="1" t="s">
        <v>221</v>
      </c>
    </row>
    <row r="92" spans="1:9" x14ac:dyDescent="0.35">
      <c r="A92" s="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ModelDataQSL9</vt:lpstr>
      <vt:lpstr>ModelDataQSB7</vt:lpstr>
      <vt:lpstr>ModelDataPHASE</vt:lpstr>
      <vt:lpstr>ModelDataB3.3</vt:lpstr>
      <vt:lpstr>ModelDataX3.3</vt:lpstr>
      <vt:lpstr>ModelDataX2.5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Dushyaant Deegwal</dc:creator>
  <cp:lastModifiedBy>Dushyaant Deegwal</cp:lastModifiedBy>
  <cp:lastPrinted>2025-10-03T09:19:10Z</cp:lastPrinted>
  <dcterms:created xsi:type="dcterms:W3CDTF">2015-06-05T18:17:20Z</dcterms:created>
  <dcterms:modified xsi:type="dcterms:W3CDTF">2025-10-26T16:04:37Z</dcterms:modified>
</cp:coreProperties>
</file>